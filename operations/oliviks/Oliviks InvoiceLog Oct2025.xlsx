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TEX21012G2\Desktop\Oliviks\"/>
    </mc:Choice>
  </mc:AlternateContent>
  <xr:revisionPtr revIDLastSave="0" documentId="13_ncr:1_{40E05B0A-F189-41A7-95AE-A92B7D52ECE7}" xr6:coauthVersionLast="47" xr6:coauthVersionMax="47" xr10:uidLastSave="{00000000-0000-0000-0000-000000000000}"/>
  <bookViews>
    <workbookView xWindow="-98" yWindow="-98" windowWidth="20715" windowHeight="13276" activeTab="1" xr2:uid="{00000000-000D-0000-FFFF-FFFF00000000}"/>
  </bookViews>
  <sheets>
    <sheet name="October 2025" sheetId="1" r:id="rId1"/>
    <sheet name="November 2025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2" l="1"/>
  <c r="G14" i="1"/>
  <c r="G23" i="1" s="1"/>
</calcChain>
</file>

<file path=xl/sharedStrings.xml><?xml version="1.0" encoding="utf-8"?>
<sst xmlns="http://schemas.openxmlformats.org/spreadsheetml/2006/main" count="139" uniqueCount="82">
  <si>
    <t>Date</t>
  </si>
  <si>
    <t>Supplier</t>
  </si>
  <si>
    <t>Invoice No</t>
  </si>
  <si>
    <t>Invoice Items (HU — EN)</t>
  </si>
  <si>
    <t>Currency</t>
  </si>
  <si>
    <t>Final Amount</t>
  </si>
  <si>
    <t>Final (HUF conv)</t>
  </si>
  <si>
    <t>2025-09-19</t>
  </si>
  <si>
    <t>2025-09-30</t>
  </si>
  <si>
    <t>2025-10-02</t>
  </si>
  <si>
    <t>2025-10-04</t>
  </si>
  <si>
    <t>2025-10-06</t>
  </si>
  <si>
    <t>2025-10-07</t>
  </si>
  <si>
    <t>2025-10-08</t>
  </si>
  <si>
    <t>2025-10-13</t>
  </si>
  <si>
    <t>2025-10-15</t>
  </si>
  <si>
    <t>2025-10-22</t>
  </si>
  <si>
    <t>2025-10-29</t>
  </si>
  <si>
    <t>2025-10-31</t>
  </si>
  <si>
    <t>Agonács Hús Kft.</t>
  </si>
  <si>
    <t>Háztáji Kft.</t>
  </si>
  <si>
    <t>ÓDOB Bt.</t>
  </si>
  <si>
    <t>Duna-Baromfi Keresk. Bt.</t>
  </si>
  <si>
    <t>Vöröskő Kft. (Euronics)</t>
  </si>
  <si>
    <t>Atco OG (AT)</t>
  </si>
  <si>
    <t>JK-GOLD Kft.</t>
  </si>
  <si>
    <t>Kemi-Bau Kft.</t>
  </si>
  <si>
    <t>Pohárfutár Bt.</t>
  </si>
  <si>
    <t>Flóriáncopy Kft.</t>
  </si>
  <si>
    <t>Copyguru</t>
  </si>
  <si>
    <t>AGO-2025-2256</t>
  </si>
  <si>
    <t>002019/2025</t>
  </si>
  <si>
    <t>AGO-2025-2378</t>
  </si>
  <si>
    <t>FUGSA 2565556</t>
  </si>
  <si>
    <t>IN4EA 0217241</t>
  </si>
  <si>
    <t>S25852-004101</t>
  </si>
  <si>
    <t>251862</t>
  </si>
  <si>
    <t>AGO-2025-2428</t>
  </si>
  <si>
    <t>AGO-2025-2437</t>
  </si>
  <si>
    <t>JKDNT-2025-126</t>
  </si>
  <si>
    <t>2025/02173</t>
  </si>
  <si>
    <t>PF2950/2025</t>
  </si>
  <si>
    <t>BR0379648 (szállítólevél, excluded)</t>
  </si>
  <si>
    <t>FLO-2025-843</t>
  </si>
  <si>
    <t>FLO-2025-841</t>
  </si>
  <si>
    <t>IN4EA 0217366</t>
  </si>
  <si>
    <t>JO2025/03863</t>
  </si>
  <si>
    <t>JO2025/03886</t>
  </si>
  <si>
    <t>002282/2025</t>
  </si>
  <si>
    <t>Marha nyak — Beef neck</t>
  </si>
  <si>
    <t>Pulyka szárny; pulyka alsó comb; csirke comb — Turkey wings; drumsticks; thighs</t>
  </si>
  <si>
    <t>Marha apróhús — Beef pieces</t>
  </si>
  <si>
    <t>Paprika — Peppers</t>
  </si>
  <si>
    <t>Csirke comb — Chicken thigh</t>
  </si>
  <si>
    <t>4 pólusú 3.5mm jack – 3×RCA kábel — 4-pole jack to 3×RCA</t>
  </si>
  <si>
    <t>African &amp; Caribbean groceries (mixed items)</t>
  </si>
  <si>
    <t>Marhabőr — Beef skin</t>
  </si>
  <si>
    <t>Spray, tapes, sanding, covers, enamel paint</t>
  </si>
  <si>
    <t>Folpack; 750ml tál; szögletes tető — Cling film; tray; lid</t>
  </si>
  <si>
    <t>M. puhahús 39.13kg; M. nyak 21.53kg; M. apróhús 10.52kg — Soft meat; neck; pieces</t>
  </si>
  <si>
    <t>Nyomtatás — Printing</t>
  </si>
  <si>
    <t>Csirke hát — Chicken backs</t>
  </si>
  <si>
    <t>Nyomtatás/másolás; laminálás; vágás — Printing; lamination; cutting</t>
  </si>
  <si>
    <t>Szkennelés; email küldés — Scanning; email send</t>
  </si>
  <si>
    <t>Tojás; pulyka; csirke — Eggs; turkey; chicken</t>
  </si>
  <si>
    <t>HUF</t>
  </si>
  <si>
    <t>EUR</t>
  </si>
  <si>
    <t>Total</t>
  </si>
  <si>
    <t>atco</t>
  </si>
  <si>
    <t>Beef</t>
  </si>
  <si>
    <t>Metro Kereskedelm KFT.</t>
  </si>
  <si>
    <t>2025-0/0(11)0007/007444</t>
  </si>
  <si>
    <t>Groceries</t>
  </si>
  <si>
    <t>IMPEX 2000 HoReCa Center Kft.</t>
  </si>
  <si>
    <t>S25/22623</t>
  </si>
  <si>
    <t>Takeaway packs</t>
  </si>
  <si>
    <t>S25/22626</t>
  </si>
  <si>
    <t>PET Juice Pack</t>
  </si>
  <si>
    <t>JKGLD-2025-3196</t>
  </si>
  <si>
    <t>Dettol</t>
  </si>
  <si>
    <t>Telekom Nyrt</t>
  </si>
  <si>
    <t>Phone Bill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</si>
</sst>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4" fontId="0" fillId="0" borderId="0" xfId="0" applyNumberFormat="1"/>
    <xf numFmtId="0" fontId="1" fillId="0" borderId="1" xfId="0" applyFont="1" applyBorder="1" applyAlignment="1">
      <alignment horizontal="center" vertical="top"/>
    </xf>
    <xf numFmtId="4" fontId="1" fillId="0" borderId="0" xfId="0" applyNumberFormat="1" applyFont="1"/>
    <xf numFmtId="14" fontId="0" fillId="0" borderId="0" xfId="0" applyNumberFormat="1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opLeftCell="C1" workbookViewId="0">
      <selection activeCell="G23" sqref="G23"/>
    </sheetView>
  </sheetViews>
  <sheetFormatPr defaultRowHeight="14.25" x14ac:dyDescent="0.45"/>
  <cols>
    <col min="1" max="1" width="12.73046875" style="1" customWidth="1"/>
    <col min="2" max="3" width="40.73046875" customWidth="1"/>
    <col min="4" max="4" width="69.1328125" bestFit="1" customWidth="1"/>
    <col min="5" max="5" width="10.73046875" customWidth="1"/>
    <col min="6" max="7" width="18.73046875" style="2" customWidth="1"/>
  </cols>
  <sheetData>
    <row r="1" spans="1:7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45">
      <c r="A2" s="1" t="s">
        <v>7</v>
      </c>
      <c r="B2" t="s">
        <v>19</v>
      </c>
      <c r="C2" t="s">
        <v>30</v>
      </c>
      <c r="D2" t="s">
        <v>49</v>
      </c>
      <c r="E2" t="s">
        <v>65</v>
      </c>
      <c r="F2" s="2">
        <v>12626</v>
      </c>
      <c r="G2" s="2">
        <v>12626</v>
      </c>
    </row>
    <row r="3" spans="1:7" x14ac:dyDescent="0.45">
      <c r="A3" s="1" t="s">
        <v>8</v>
      </c>
      <c r="B3" t="s">
        <v>20</v>
      </c>
      <c r="C3" t="s">
        <v>31</v>
      </c>
      <c r="D3" t="s">
        <v>50</v>
      </c>
      <c r="E3" t="s">
        <v>65</v>
      </c>
      <c r="F3" s="2">
        <v>25325</v>
      </c>
      <c r="G3" s="2">
        <v>25325</v>
      </c>
    </row>
    <row r="4" spans="1:7" x14ac:dyDescent="0.45">
      <c r="A4" s="1" t="s">
        <v>9</v>
      </c>
      <c r="B4" t="s">
        <v>19</v>
      </c>
      <c r="C4" t="s">
        <v>32</v>
      </c>
      <c r="D4" t="s">
        <v>51</v>
      </c>
      <c r="E4" t="s">
        <v>65</v>
      </c>
      <c r="F4" s="2">
        <v>34942</v>
      </c>
      <c r="G4" s="2">
        <v>34942</v>
      </c>
    </row>
    <row r="5" spans="1:7" x14ac:dyDescent="0.45">
      <c r="A5" s="1" t="s">
        <v>9</v>
      </c>
      <c r="B5" t="s">
        <v>21</v>
      </c>
      <c r="C5" t="s">
        <v>33</v>
      </c>
      <c r="D5" t="s">
        <v>52</v>
      </c>
      <c r="E5" t="s">
        <v>65</v>
      </c>
      <c r="F5" s="2">
        <v>8800</v>
      </c>
      <c r="G5" s="2">
        <v>8800</v>
      </c>
    </row>
    <row r="6" spans="1:7" x14ac:dyDescent="0.45">
      <c r="A6" s="1" t="s">
        <v>10</v>
      </c>
      <c r="B6" t="s">
        <v>22</v>
      </c>
      <c r="C6" t="s">
        <v>34</v>
      </c>
      <c r="D6" t="s">
        <v>53</v>
      </c>
      <c r="E6" t="s">
        <v>65</v>
      </c>
      <c r="F6" s="2">
        <v>12317</v>
      </c>
      <c r="G6" s="2">
        <v>12317</v>
      </c>
    </row>
    <row r="7" spans="1:7" x14ac:dyDescent="0.45">
      <c r="A7" s="1" t="s">
        <v>10</v>
      </c>
      <c r="B7" t="s">
        <v>23</v>
      </c>
      <c r="C7" t="s">
        <v>35</v>
      </c>
      <c r="D7" t="s">
        <v>54</v>
      </c>
      <c r="E7" t="s">
        <v>65</v>
      </c>
      <c r="F7" s="2">
        <v>1299</v>
      </c>
      <c r="G7" s="2">
        <v>1299</v>
      </c>
    </row>
    <row r="8" spans="1:7" x14ac:dyDescent="0.45">
      <c r="A8" s="1" t="s">
        <v>11</v>
      </c>
      <c r="B8" t="s">
        <v>24</v>
      </c>
      <c r="C8" t="s">
        <v>36</v>
      </c>
      <c r="D8" t="s">
        <v>55</v>
      </c>
      <c r="E8" t="s">
        <v>66</v>
      </c>
      <c r="F8" s="2">
        <v>1236.1600000000001</v>
      </c>
      <c r="G8" s="2">
        <v>480272.88</v>
      </c>
    </row>
    <row r="9" spans="1:7" x14ac:dyDescent="0.45">
      <c r="A9" s="1" t="s">
        <v>12</v>
      </c>
      <c r="B9" t="s">
        <v>19</v>
      </c>
      <c r="C9" t="s">
        <v>37</v>
      </c>
      <c r="D9" t="s">
        <v>51</v>
      </c>
      <c r="E9" t="s">
        <v>65</v>
      </c>
      <c r="F9" s="2">
        <v>41733</v>
      </c>
      <c r="G9" s="2">
        <v>41733</v>
      </c>
    </row>
    <row r="10" spans="1:7" x14ac:dyDescent="0.45">
      <c r="A10" s="1" t="s">
        <v>12</v>
      </c>
      <c r="B10" t="s">
        <v>19</v>
      </c>
      <c r="C10" t="s">
        <v>38</v>
      </c>
      <c r="D10" t="s">
        <v>49</v>
      </c>
      <c r="E10" t="s">
        <v>65</v>
      </c>
      <c r="F10" s="2">
        <v>16191</v>
      </c>
      <c r="G10" s="2">
        <v>16191</v>
      </c>
    </row>
    <row r="11" spans="1:7" x14ac:dyDescent="0.45">
      <c r="A11" s="1" t="s">
        <v>12</v>
      </c>
      <c r="B11" t="s">
        <v>25</v>
      </c>
      <c r="C11" t="s">
        <v>39</v>
      </c>
      <c r="D11" t="s">
        <v>56</v>
      </c>
      <c r="E11" t="s">
        <v>65</v>
      </c>
      <c r="F11" s="2">
        <v>4550</v>
      </c>
      <c r="G11" s="2">
        <v>4550</v>
      </c>
    </row>
    <row r="12" spans="1:7" x14ac:dyDescent="0.45">
      <c r="A12" s="1" t="s">
        <v>13</v>
      </c>
      <c r="B12" t="s">
        <v>26</v>
      </c>
      <c r="C12" t="s">
        <v>40</v>
      </c>
      <c r="D12" t="s">
        <v>57</v>
      </c>
      <c r="E12" t="s">
        <v>65</v>
      </c>
      <c r="F12" s="2">
        <v>12109</v>
      </c>
      <c r="G12" s="2">
        <v>12109</v>
      </c>
    </row>
    <row r="13" spans="1:7" x14ac:dyDescent="0.45">
      <c r="A13" s="1" t="s">
        <v>14</v>
      </c>
      <c r="B13" t="s">
        <v>27</v>
      </c>
      <c r="C13" t="s">
        <v>41</v>
      </c>
      <c r="D13" t="s">
        <v>58</v>
      </c>
      <c r="E13" t="s">
        <v>65</v>
      </c>
      <c r="F13" s="2">
        <v>6212</v>
      </c>
      <c r="G13" s="2">
        <v>6212</v>
      </c>
    </row>
    <row r="14" spans="1:7" x14ac:dyDescent="0.45">
      <c r="A14" s="1" t="s">
        <v>14</v>
      </c>
      <c r="B14" t="s">
        <v>19</v>
      </c>
      <c r="C14" t="s">
        <v>42</v>
      </c>
      <c r="D14" t="s">
        <v>59</v>
      </c>
      <c r="E14" t="s">
        <v>65</v>
      </c>
      <c r="F14" s="2">
        <v>254411</v>
      </c>
      <c r="G14" s="2">
        <f>SUM(F14)</f>
        <v>254411</v>
      </c>
    </row>
    <row r="15" spans="1:7" x14ac:dyDescent="0.45">
      <c r="A15" s="1" t="s">
        <v>15</v>
      </c>
      <c r="B15" t="s">
        <v>28</v>
      </c>
      <c r="C15" t="s">
        <v>43</v>
      </c>
      <c r="D15" t="s">
        <v>60</v>
      </c>
      <c r="E15" t="s">
        <v>65</v>
      </c>
      <c r="F15" s="2">
        <v>5260</v>
      </c>
      <c r="G15" s="2">
        <v>5260</v>
      </c>
    </row>
    <row r="16" spans="1:7" x14ac:dyDescent="0.45">
      <c r="A16" s="1" t="s">
        <v>15</v>
      </c>
      <c r="B16" t="s">
        <v>28</v>
      </c>
      <c r="C16" t="s">
        <v>44</v>
      </c>
      <c r="D16" t="s">
        <v>60</v>
      </c>
      <c r="E16" t="s">
        <v>65</v>
      </c>
      <c r="F16" s="2">
        <v>4880</v>
      </c>
      <c r="G16" s="2">
        <v>4880</v>
      </c>
    </row>
    <row r="17" spans="1:7" x14ac:dyDescent="0.45">
      <c r="A17" s="1" t="s">
        <v>16</v>
      </c>
      <c r="B17" t="s">
        <v>22</v>
      </c>
      <c r="C17" t="s">
        <v>45</v>
      </c>
      <c r="D17" t="s">
        <v>61</v>
      </c>
      <c r="E17" t="s">
        <v>65</v>
      </c>
      <c r="F17" s="2">
        <v>5973</v>
      </c>
      <c r="G17" s="2">
        <v>5973</v>
      </c>
    </row>
    <row r="18" spans="1:7" x14ac:dyDescent="0.45">
      <c r="A18" s="1" t="s">
        <v>17</v>
      </c>
      <c r="B18" t="s">
        <v>29</v>
      </c>
      <c r="C18" t="s">
        <v>46</v>
      </c>
      <c r="D18" t="s">
        <v>62</v>
      </c>
      <c r="E18" t="s">
        <v>65</v>
      </c>
      <c r="F18" s="2">
        <v>4520</v>
      </c>
      <c r="G18" s="2">
        <v>4520</v>
      </c>
    </row>
    <row r="19" spans="1:7" x14ac:dyDescent="0.45">
      <c r="A19" s="1" t="s">
        <v>18</v>
      </c>
      <c r="B19" t="s">
        <v>29</v>
      </c>
      <c r="C19" t="s">
        <v>47</v>
      </c>
      <c r="D19" t="s">
        <v>63</v>
      </c>
      <c r="E19" t="s">
        <v>65</v>
      </c>
      <c r="F19" s="2">
        <v>2460</v>
      </c>
      <c r="G19" s="2">
        <v>2460</v>
      </c>
    </row>
    <row r="20" spans="1:7" x14ac:dyDescent="0.45">
      <c r="A20" s="1" t="s">
        <v>18</v>
      </c>
      <c r="B20" t="s">
        <v>20</v>
      </c>
      <c r="C20" t="s">
        <v>48</v>
      </c>
      <c r="D20" t="s">
        <v>64</v>
      </c>
      <c r="E20" t="s">
        <v>65</v>
      </c>
      <c r="F20" s="2">
        <v>94304</v>
      </c>
      <c r="G20" s="2">
        <v>94304</v>
      </c>
    </row>
    <row r="23" spans="1:7" x14ac:dyDescent="0.45">
      <c r="F23" s="4" t="s">
        <v>67</v>
      </c>
      <c r="G23" s="4">
        <f>SUM(G2:G20)</f>
        <v>1028184.88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CC02F-AD41-45BD-94B8-9311A0E42BAB}">
  <dimension ref="A1:G14"/>
  <sheetViews>
    <sheetView tabSelected="1" workbookViewId="0">
      <selection activeCell="E12" sqref="E12"/>
    </sheetView>
  </sheetViews>
  <sheetFormatPr defaultRowHeight="14.25" x14ac:dyDescent="0.45"/>
  <cols>
    <col min="1" max="1" width="10.19921875" bestFit="1" customWidth="1"/>
    <col min="2" max="2" width="26" bestFit="1" customWidth="1"/>
    <col min="3" max="3" width="22.19921875" bestFit="1" customWidth="1"/>
    <col min="4" max="4" width="35.796875" bestFit="1" customWidth="1"/>
    <col min="5" max="5" width="13.9296875" bestFit="1" customWidth="1"/>
    <col min="6" max="6" width="11.6640625" bestFit="1" customWidth="1"/>
    <col min="7" max="7" width="13.9296875" bestFit="1" customWidth="1"/>
  </cols>
  <sheetData>
    <row r="1" spans="1:7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45">
      <c r="A2" s="5">
        <v>45965</v>
      </c>
      <c r="B2" t="s">
        <v>68</v>
      </c>
      <c r="C2">
        <v>252052</v>
      </c>
      <c r="D2" t="s">
        <v>55</v>
      </c>
      <c r="E2" t="s">
        <v>66</v>
      </c>
      <c r="F2">
        <v>405.04</v>
      </c>
      <c r="G2" s="2">
        <v>157305.38</v>
      </c>
    </row>
    <row r="3" spans="1:7" x14ac:dyDescent="0.45">
      <c r="A3" s="5">
        <v>45971</v>
      </c>
      <c r="B3" t="s">
        <v>19</v>
      </c>
      <c r="C3">
        <v>2961939</v>
      </c>
      <c r="D3" t="s">
        <v>69</v>
      </c>
      <c r="E3" t="s">
        <v>65</v>
      </c>
      <c r="F3" s="6">
        <v>111623</v>
      </c>
      <c r="G3" s="6">
        <v>111623</v>
      </c>
    </row>
    <row r="4" spans="1:7" x14ac:dyDescent="0.45">
      <c r="A4" s="5">
        <v>45978</v>
      </c>
      <c r="B4" t="s">
        <v>68</v>
      </c>
      <c r="C4">
        <v>252150</v>
      </c>
      <c r="D4" t="s">
        <v>55</v>
      </c>
      <c r="E4" t="s">
        <v>66</v>
      </c>
      <c r="F4">
        <v>219.52</v>
      </c>
      <c r="G4" s="2">
        <v>84284.7</v>
      </c>
    </row>
    <row r="5" spans="1:7" x14ac:dyDescent="0.45">
      <c r="A5" s="5">
        <v>45980</v>
      </c>
      <c r="B5" t="s">
        <v>70</v>
      </c>
      <c r="C5" t="s">
        <v>71</v>
      </c>
      <c r="D5" t="s">
        <v>72</v>
      </c>
      <c r="E5" t="s">
        <v>65</v>
      </c>
      <c r="F5" s="6">
        <v>46592</v>
      </c>
      <c r="G5" s="6">
        <v>46592</v>
      </c>
    </row>
    <row r="6" spans="1:7" x14ac:dyDescent="0.45">
      <c r="A6" s="5">
        <v>45980</v>
      </c>
      <c r="B6" t="s">
        <v>73</v>
      </c>
      <c r="C6" t="s">
        <v>74</v>
      </c>
      <c r="D6" t="s">
        <v>75</v>
      </c>
      <c r="E6" t="s">
        <v>65</v>
      </c>
      <c r="F6" s="6">
        <v>33369</v>
      </c>
      <c r="G6" s="6">
        <v>33369</v>
      </c>
    </row>
    <row r="7" spans="1:7" x14ac:dyDescent="0.45">
      <c r="A7" s="5">
        <v>45980</v>
      </c>
      <c r="B7" t="s">
        <v>73</v>
      </c>
      <c r="C7" t="s">
        <v>76</v>
      </c>
      <c r="D7" t="s">
        <v>77</v>
      </c>
      <c r="E7" t="s">
        <v>65</v>
      </c>
      <c r="F7" s="6">
        <v>3839</v>
      </c>
      <c r="G7" s="6">
        <v>3839</v>
      </c>
    </row>
    <row r="8" spans="1:7" x14ac:dyDescent="0.45">
      <c r="A8" s="5">
        <v>45986</v>
      </c>
      <c r="B8" t="s">
        <v>25</v>
      </c>
      <c r="C8" t="s">
        <v>78</v>
      </c>
      <c r="D8" t="s">
        <v>79</v>
      </c>
      <c r="E8" t="s">
        <v>65</v>
      </c>
      <c r="F8" s="6">
        <v>7426</v>
      </c>
      <c r="G8" s="6">
        <v>7426</v>
      </c>
    </row>
    <row r="9" spans="1:7" x14ac:dyDescent="0.45">
      <c r="A9" s="5">
        <v>45989</v>
      </c>
      <c r="B9" t="s">
        <v>80</v>
      </c>
      <c r="C9">
        <v>120250717056</v>
      </c>
      <c r="D9" t="s">
        <v>81</v>
      </c>
      <c r="E9" t="s">
        <v>65</v>
      </c>
      <c r="F9" s="6">
        <v>3810</v>
      </c>
      <c r="G9" s="6">
        <v>3810</v>
      </c>
    </row>
    <row r="14" spans="1:7" x14ac:dyDescent="0.45">
      <c r="F14" s="7" t="s">
        <v>67</v>
      </c>
      <c r="G14" s="4">
        <f>SUM(G2:G13)</f>
        <v>448249.08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October 2025</vt:lpstr>
      <vt:lpstr>November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ehigbai</cp:lastModifiedBy>
  <dcterms:created xsi:type="dcterms:W3CDTF">2025-11-03T14:07:16Z</dcterms:created>
  <dcterms:modified xsi:type="dcterms:W3CDTF">2025-11-28T17:18:41Z</dcterms:modified>
</cp:coreProperties>
</file>