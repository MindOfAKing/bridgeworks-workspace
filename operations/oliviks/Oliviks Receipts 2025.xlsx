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ITEX21012G2\Desktop\Oliviks\"/>
    </mc:Choice>
  </mc:AlternateContent>
  <xr:revisionPtr revIDLastSave="0" documentId="8_{D19162AD-6F2A-450E-BAE3-3FECE39BFBF7}" xr6:coauthVersionLast="47" xr6:coauthVersionMax="47" xr10:uidLastSave="{00000000-0000-0000-0000-000000000000}"/>
  <bookViews>
    <workbookView xWindow="0" yWindow="300" windowWidth="20715" windowHeight="13275" activeTab="1" xr2:uid="{00000000-000D-0000-FFFF-FFFF00000000}"/>
  </bookViews>
  <sheets>
    <sheet name="October 2025 Receipts" sheetId="3" r:id="rId1"/>
    <sheet name="November 2025 Receipts" sheetId="1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G53" i="1"/>
  <c r="G54" i="1" s="1"/>
  <c r="I53" i="1"/>
  <c r="I54" i="1" s="1"/>
</calcChain>
</file>

<file path=xl/sharedStrings.xml><?xml version="1.0" encoding="utf-8"?>
<sst xmlns="http://schemas.openxmlformats.org/spreadsheetml/2006/main" count="186" uniqueCount="127">
  <si>
    <t>Date</t>
  </si>
  <si>
    <t>Vendor (HU — EN)</t>
  </si>
  <si>
    <t>Receipt/Invoice No.</t>
  </si>
  <si>
    <t>Short Item</t>
  </si>
  <si>
    <t>2025-11-03</t>
  </si>
  <si>
    <t>Lidl Magyarország Bt. — Lidl</t>
  </si>
  <si>
    <t>A31900266/0173/00007</t>
  </si>
  <si>
    <t>Cleaning supplies &amp; Mexican spice mix</t>
  </si>
  <si>
    <t>Penny Market Kft. — Penny</t>
  </si>
  <si>
    <t>A27300038/0917/00001</t>
  </si>
  <si>
    <t>Cooking oil (étolaj 5L × 2)</t>
  </si>
  <si>
    <t>Subtotal (HUF):</t>
  </si>
  <si>
    <t>Auto-total</t>
  </si>
  <si>
    <t>Grand Total (HUF):</t>
  </si>
  <si>
    <t>Total (HUF)</t>
  </si>
  <si>
    <t>Adjustments / Late Entries</t>
  </si>
  <si>
    <t>Grand Total (HUF)</t>
  </si>
  <si>
    <t>Milk (ALPRO), sugar, kids cereal</t>
  </si>
  <si>
    <t>AO3103375/1205/00003</t>
  </si>
  <si>
    <t>SPAR Magyarország — Spar</t>
  </si>
  <si>
    <t>2025-10-31</t>
  </si>
  <si>
    <t>Mixed groceries (water, yogurt, juices)</t>
  </si>
  <si>
    <t>A31900267/0171/00011</t>
  </si>
  <si>
    <t>Lidl Magyarország — Lidl</t>
  </si>
  <si>
    <t>2025-10-29</t>
  </si>
  <si>
    <t>Rope, silicone, plates</t>
  </si>
  <si>
    <t>A24900070/1002/00011</t>
  </si>
  <si>
    <t>Rákóczi Üzletház — Household</t>
  </si>
  <si>
    <t>2025-10-27</t>
  </si>
  <si>
    <t>Oil (étolaj 5L) + spinach (variant)</t>
  </si>
  <si>
    <t>A27300038/0892/00001</t>
  </si>
  <si>
    <t>Penny Market — Penny</t>
  </si>
  <si>
    <t>2025-10-22</t>
  </si>
  <si>
    <t>Beef cubes, drinks, deposits</t>
  </si>
  <si>
    <t>A05200833/1498/00007</t>
  </si>
  <si>
    <t>ALDI Magyarország — Aldi</t>
  </si>
  <si>
    <t>Mixed groceries</t>
  </si>
  <si>
    <t>A31900267/0165/00010</t>
  </si>
  <si>
    <t>Medication &amp; supplies</t>
  </si>
  <si>
    <t>A23407918/1124/00001</t>
  </si>
  <si>
    <t>Szent Péter Patika — Pharmacy</t>
  </si>
  <si>
    <t>2025-10-20</t>
  </si>
  <si>
    <t>Havi Budapest‑bérlet</t>
  </si>
  <si>
    <t>A1670021/1919/00012</t>
  </si>
  <si>
    <t>BKK Zrt. — Budapest Transport</t>
  </si>
  <si>
    <t>2025-10-19</t>
  </si>
  <si>
    <t>A1670021/1919/00011</t>
  </si>
  <si>
    <t>Oil (étolaj 5L) &amp; promo items</t>
  </si>
  <si>
    <t>A27300038/0899/00001</t>
  </si>
  <si>
    <t>2025-10-14</t>
  </si>
  <si>
    <t>Powdered sugar (porcukor)</t>
  </si>
  <si>
    <t>A27300041/0897/00001</t>
  </si>
  <si>
    <t>Spinach (paraj) — multiple</t>
  </si>
  <si>
    <t>A27300039/0898/00002</t>
  </si>
  <si>
    <t>Sugar (Diamant 1 kg)</t>
  </si>
  <si>
    <t>AO3104185/1525/00001</t>
  </si>
  <si>
    <t>Large mixed list (long receipt)</t>
  </si>
  <si>
    <t>A31900267/0151/00001</t>
  </si>
  <si>
    <t>Flour (finom, rétes) &amp; milk</t>
  </si>
  <si>
    <t>A31900267/0157/00005</t>
  </si>
  <si>
    <t>Beef cubes + drinks</t>
  </si>
  <si>
    <t>A05200834/1495/00007</t>
  </si>
  <si>
    <t>Spinach (paraj)</t>
  </si>
  <si>
    <t>2025-10-13</t>
  </si>
  <si>
    <t>Potatoes &amp; carrots</t>
  </si>
  <si>
    <t>AO3104185/1522/00001</t>
  </si>
  <si>
    <t>2025-10-11</t>
  </si>
  <si>
    <t>Water &amp; yogurt (various)</t>
  </si>
  <si>
    <t>A31900267/0152/00005</t>
  </si>
  <si>
    <t>Oil (étolaj 5L) + spinach</t>
  </si>
  <si>
    <t>2025-10-07</t>
  </si>
  <si>
    <t>Tools, brushes, cables, cleaning</t>
  </si>
  <si>
    <t>A06000339/1469/00015</t>
  </si>
  <si>
    <t>OBI Hungary Retail — OBI</t>
  </si>
  <si>
    <t>Spices &amp; mixes</t>
  </si>
  <si>
    <t>A31900267/0148/00008</t>
  </si>
  <si>
    <t>Yogurt &amp; juice</t>
  </si>
  <si>
    <t>A31900499/0134/00010</t>
  </si>
  <si>
    <t>2025-10-03</t>
  </si>
  <si>
    <t>Flours (rétes + finom)</t>
  </si>
  <si>
    <t>A31900267/0144/00011</t>
  </si>
  <si>
    <t>2025-10-01</t>
  </si>
  <si>
    <t>2025-11-04</t>
  </si>
  <si>
    <t>A31900499/0164/00010</t>
  </si>
  <si>
    <t xml:space="preserve">Strawberry juice, yoghurt, coconut </t>
  </si>
  <si>
    <t>A03104184/1536/00003</t>
  </si>
  <si>
    <t xml:space="preserve">Cleaning supplies </t>
  </si>
  <si>
    <t>A27300038/0921/00001</t>
  </si>
  <si>
    <t>Oil &amp; Salt</t>
  </si>
  <si>
    <t>A31900268/0180/00004</t>
  </si>
  <si>
    <t>Mexican Mix</t>
  </si>
  <si>
    <t>Muller Drogeria Magyarország Bt.</t>
  </si>
  <si>
    <t>A29400125</t>
  </si>
  <si>
    <t>Blink Descaler (Vizkőoldó)</t>
  </si>
  <si>
    <t>A27300038/0924/00002</t>
  </si>
  <si>
    <t>Spinach (18x)</t>
  </si>
  <si>
    <t>A31900265/0184/00002</t>
  </si>
  <si>
    <t>Mineral Water, Coca Cola</t>
  </si>
  <si>
    <t xml:space="preserve">A27300038/0931/00001 </t>
  </si>
  <si>
    <t>Penny Cooking Oil (5L)</t>
  </si>
  <si>
    <t xml:space="preserve">A05900019/1557/00001 </t>
  </si>
  <si>
    <t>Ko-Do Pharma</t>
  </si>
  <si>
    <t>BioCo Vitamin C, Béres Vita-D3</t>
  </si>
  <si>
    <t>Szent Péter Patika</t>
  </si>
  <si>
    <t>A23407918/1142/00001</t>
  </si>
  <si>
    <t>Panadol Rapid</t>
  </si>
  <si>
    <t xml:space="preserve">A23407918/1142/00002 </t>
  </si>
  <si>
    <t>Steinberger Antioxidants</t>
  </si>
  <si>
    <t>A31900484/0165/00005</t>
  </si>
  <si>
    <t xml:space="preserve">Flour, Drink, Chocolate rolls, Milk </t>
  </si>
  <si>
    <t>A31900500/0172/00003</t>
  </si>
  <si>
    <t>Toilet Paper</t>
  </si>
  <si>
    <t>BKK (Transport)</t>
  </si>
  <si>
    <t>A16700121/1950/00006</t>
  </si>
  <si>
    <t>Monthly Budapest Pass (x2)</t>
  </si>
  <si>
    <t>A31900267/0192/00012</t>
  </si>
  <si>
    <t xml:space="preserve">Flour, Scent </t>
  </si>
  <si>
    <t>A29400174/0136/00002</t>
  </si>
  <si>
    <t xml:space="preserve">Kinder Country, Ferrero Rocher, Milka </t>
  </si>
  <si>
    <t>A27300041/0937/00001</t>
  </si>
  <si>
    <t xml:space="preserve">Cooking Oil (5L), Spinach </t>
  </si>
  <si>
    <t>A27300041/0937/00002</t>
  </si>
  <si>
    <t>Spinach (GYF. PARAJ)</t>
  </si>
  <si>
    <t>A03104184/1558/00002</t>
  </si>
  <si>
    <t xml:space="preserve">Bags, Carrots, Potatoes </t>
  </si>
  <si>
    <t>A31900501/0187/00006</t>
  </si>
  <si>
    <t xml:space="preserve">Ginger shots, Ginger-mango-lime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</si>
</sst>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name val="Calibri"/>
      <scheme val="minor"/>
    </font>
    <font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1"/>
    <xf numFmtId="3" fontId="4" fillId="0" borderId="0" xfId="1" applyNumberFormat="1" applyFont="1"/>
    <xf numFmtId="164" fontId="4" fillId="0" borderId="0" xfId="1" applyNumberFormat="1" applyFont="1"/>
    <xf numFmtId="0" fontId="2" fillId="0" borderId="0" xfId="1" applyFont="1"/>
    <xf numFmtId="3" fontId="2" fillId="0" borderId="0" xfId="1" applyNumberFormat="1" applyFont="1"/>
    <xf numFmtId="0" fontId="2" fillId="0" borderId="0" xfId="1" applyFont="1" applyAlignment="1">
      <alignment horizontal="center" vertical="center"/>
    </xf>
    <xf numFmtId="14" fontId="0" fillId="0" borderId="0" xfId="0" applyNumberFormat="1"/>
    <xf numFmtId="0" fontId="7" fillId="0" borderId="0" xfId="0" applyFont="1"/>
    <xf numFmtId="0" fontId="5" fillId="0" borderId="0" xfId="0" applyFont="1"/>
  </cellXfs>
  <cellStyles count="2">
    <cellStyle name="Normal" xfId="0" builtinId="0"/>
    <cellStyle name="Normal 2" xfId="1" xr:uid="{7F7982FD-12CC-46BC-86E2-B5DA5933C2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AAFB-0524-47C5-B45C-5EB2DDCA2672}">
  <dimension ref="A1:E100"/>
  <sheetViews>
    <sheetView workbookViewId="0">
      <selection activeCell="D27" sqref="D27"/>
    </sheetView>
  </sheetViews>
  <sheetFormatPr defaultColWidth="14.3984375" defaultRowHeight="15" customHeight="1" x14ac:dyDescent="0.45"/>
  <cols>
    <col min="1" max="1" width="12" style="2" customWidth="1"/>
    <col min="2" max="2" width="38" style="2" customWidth="1"/>
    <col min="3" max="3" width="24" style="2" customWidth="1"/>
    <col min="4" max="4" width="46" style="2" customWidth="1"/>
    <col min="5" max="5" width="14" style="2" customWidth="1"/>
    <col min="6" max="11" width="8.73046875" style="2" customWidth="1"/>
    <col min="12" max="16384" width="14.3984375" style="2"/>
  </cols>
  <sheetData>
    <row r="1" spans="1:5" ht="14.25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14</v>
      </c>
    </row>
    <row r="2" spans="1:5" ht="14.25" x14ac:dyDescent="0.45">
      <c r="A2" s="4" t="s">
        <v>81</v>
      </c>
      <c r="B2" s="2" t="s">
        <v>23</v>
      </c>
      <c r="C2" s="2" t="s">
        <v>80</v>
      </c>
      <c r="D2" s="2" t="s">
        <v>79</v>
      </c>
      <c r="E2" s="3">
        <v>7110</v>
      </c>
    </row>
    <row r="3" spans="1:5" ht="14.25" x14ac:dyDescent="0.45">
      <c r="A3" s="4" t="s">
        <v>78</v>
      </c>
      <c r="B3" s="2" t="s">
        <v>23</v>
      </c>
      <c r="C3" s="2" t="s">
        <v>77</v>
      </c>
      <c r="D3" s="2" t="s">
        <v>76</v>
      </c>
      <c r="E3" s="3">
        <v>4015</v>
      </c>
    </row>
    <row r="4" spans="1:5" ht="14.25" x14ac:dyDescent="0.45">
      <c r="A4" s="4" t="s">
        <v>70</v>
      </c>
      <c r="B4" s="2" t="s">
        <v>23</v>
      </c>
      <c r="C4" s="2" t="s">
        <v>75</v>
      </c>
      <c r="D4" s="2" t="s">
        <v>74</v>
      </c>
      <c r="E4" s="3">
        <v>7392</v>
      </c>
    </row>
    <row r="5" spans="1:5" ht="14.25" x14ac:dyDescent="0.45">
      <c r="A5" s="4" t="s">
        <v>70</v>
      </c>
      <c r="B5" s="2" t="s">
        <v>73</v>
      </c>
      <c r="C5" s="2" t="s">
        <v>72</v>
      </c>
      <c r="D5" s="2" t="s">
        <v>71</v>
      </c>
      <c r="E5" s="3">
        <v>33688</v>
      </c>
    </row>
    <row r="6" spans="1:5" ht="14.25" x14ac:dyDescent="0.45">
      <c r="A6" s="4" t="s">
        <v>70</v>
      </c>
      <c r="B6" s="2" t="s">
        <v>31</v>
      </c>
      <c r="C6" s="2" t="s">
        <v>30</v>
      </c>
      <c r="D6" s="2" t="s">
        <v>69</v>
      </c>
      <c r="E6" s="3">
        <v>15624</v>
      </c>
    </row>
    <row r="7" spans="1:5" ht="14.25" x14ac:dyDescent="0.45">
      <c r="A7" s="4" t="s">
        <v>66</v>
      </c>
      <c r="B7" s="2" t="s">
        <v>23</v>
      </c>
      <c r="C7" s="2" t="s">
        <v>68</v>
      </c>
      <c r="D7" s="2" t="s">
        <v>67</v>
      </c>
      <c r="E7" s="3">
        <v>6932</v>
      </c>
    </row>
    <row r="8" spans="1:5" ht="14.25" x14ac:dyDescent="0.45">
      <c r="A8" s="4" t="s">
        <v>66</v>
      </c>
      <c r="B8" s="2" t="s">
        <v>19</v>
      </c>
      <c r="C8" s="2" t="s">
        <v>65</v>
      </c>
      <c r="D8" s="2" t="s">
        <v>64</v>
      </c>
      <c r="E8" s="3">
        <v>1533</v>
      </c>
    </row>
    <row r="9" spans="1:5" ht="14.25" x14ac:dyDescent="0.45">
      <c r="A9" s="4" t="s">
        <v>63</v>
      </c>
      <c r="B9" s="2" t="s">
        <v>31</v>
      </c>
      <c r="C9" s="2" t="s">
        <v>53</v>
      </c>
      <c r="D9" s="2" t="s">
        <v>62</v>
      </c>
      <c r="E9" s="3">
        <v>3992</v>
      </c>
    </row>
    <row r="10" spans="1:5" ht="14.25" x14ac:dyDescent="0.45">
      <c r="A10" s="4" t="s">
        <v>49</v>
      </c>
      <c r="B10" s="2" t="s">
        <v>35</v>
      </c>
      <c r="C10" s="2" t="s">
        <v>61</v>
      </c>
      <c r="D10" s="2" t="s">
        <v>60</v>
      </c>
      <c r="E10" s="3">
        <v>5634</v>
      </c>
    </row>
    <row r="11" spans="1:5" ht="14.25" x14ac:dyDescent="0.45">
      <c r="A11" s="4" t="s">
        <v>49</v>
      </c>
      <c r="B11" s="2" t="s">
        <v>23</v>
      </c>
      <c r="C11" s="2" t="s">
        <v>59</v>
      </c>
      <c r="D11" s="2" t="s">
        <v>58</v>
      </c>
      <c r="E11" s="3">
        <v>4886</v>
      </c>
    </row>
    <row r="12" spans="1:5" ht="14.25" x14ac:dyDescent="0.45">
      <c r="A12" s="4" t="s">
        <v>49</v>
      </c>
      <c r="B12" s="2" t="s">
        <v>23</v>
      </c>
      <c r="C12" s="2" t="s">
        <v>57</v>
      </c>
      <c r="D12" s="2" t="s">
        <v>56</v>
      </c>
      <c r="E12" s="3">
        <v>15292</v>
      </c>
    </row>
    <row r="13" spans="1:5" ht="14.25" x14ac:dyDescent="0.45">
      <c r="A13" s="4" t="s">
        <v>49</v>
      </c>
      <c r="B13" s="2" t="s">
        <v>19</v>
      </c>
      <c r="C13" s="2" t="s">
        <v>55</v>
      </c>
      <c r="D13" s="2" t="s">
        <v>54</v>
      </c>
      <c r="E13" s="3">
        <v>3660</v>
      </c>
    </row>
    <row r="14" spans="1:5" ht="14.25" x14ac:dyDescent="0.45">
      <c r="A14" s="4" t="s">
        <v>49</v>
      </c>
      <c r="B14" s="2" t="s">
        <v>31</v>
      </c>
      <c r="C14" s="2" t="s">
        <v>53</v>
      </c>
      <c r="D14" s="2" t="s">
        <v>52</v>
      </c>
      <c r="E14" s="3">
        <v>8982</v>
      </c>
    </row>
    <row r="15" spans="1:5" ht="14.25" x14ac:dyDescent="0.45">
      <c r="A15" s="4" t="s">
        <v>49</v>
      </c>
      <c r="B15" s="2" t="s">
        <v>31</v>
      </c>
      <c r="C15" s="2" t="s">
        <v>51</v>
      </c>
      <c r="D15" s="2" t="s">
        <v>50</v>
      </c>
      <c r="E15" s="3">
        <v>765</v>
      </c>
    </row>
    <row r="16" spans="1:5" ht="14.25" x14ac:dyDescent="0.45">
      <c r="A16" s="4" t="s">
        <v>49</v>
      </c>
      <c r="B16" s="2" t="s">
        <v>31</v>
      </c>
      <c r="C16" s="2" t="s">
        <v>48</v>
      </c>
      <c r="D16" s="2" t="s">
        <v>47</v>
      </c>
      <c r="E16" s="3">
        <v>15361</v>
      </c>
    </row>
    <row r="17" spans="1:5" ht="14.25" x14ac:dyDescent="0.45">
      <c r="A17" s="4" t="s">
        <v>45</v>
      </c>
      <c r="B17" s="2" t="s">
        <v>44</v>
      </c>
      <c r="C17" s="2" t="s">
        <v>46</v>
      </c>
      <c r="D17" s="2" t="s">
        <v>42</v>
      </c>
      <c r="E17" s="3">
        <v>8950</v>
      </c>
    </row>
    <row r="18" spans="1:5" ht="14.25" x14ac:dyDescent="0.45">
      <c r="A18" s="4" t="s">
        <v>45</v>
      </c>
      <c r="B18" s="2" t="s">
        <v>44</v>
      </c>
      <c r="C18" s="2" t="s">
        <v>43</v>
      </c>
      <c r="D18" s="2" t="s">
        <v>42</v>
      </c>
      <c r="E18" s="3">
        <v>8950</v>
      </c>
    </row>
    <row r="19" spans="1:5" ht="14.25" x14ac:dyDescent="0.45">
      <c r="A19" s="4" t="s">
        <v>41</v>
      </c>
      <c r="B19" s="2" t="s">
        <v>40</v>
      </c>
      <c r="C19" s="2" t="s">
        <v>39</v>
      </c>
      <c r="D19" s="2" t="s">
        <v>38</v>
      </c>
      <c r="E19" s="3">
        <v>13143</v>
      </c>
    </row>
    <row r="20" spans="1:5" ht="14.25" x14ac:dyDescent="0.45">
      <c r="A20" s="4" t="s">
        <v>32</v>
      </c>
      <c r="B20" s="2" t="s">
        <v>23</v>
      </c>
      <c r="C20" s="2" t="s">
        <v>37</v>
      </c>
      <c r="D20" s="2" t="s">
        <v>36</v>
      </c>
      <c r="E20" s="3">
        <v>10667</v>
      </c>
    </row>
    <row r="21" spans="1:5" ht="15.75" customHeight="1" x14ac:dyDescent="0.45">
      <c r="A21" s="4" t="s">
        <v>32</v>
      </c>
      <c r="B21" s="2" t="s">
        <v>35</v>
      </c>
      <c r="C21" s="2" t="s">
        <v>34</v>
      </c>
      <c r="D21" s="2" t="s">
        <v>33</v>
      </c>
      <c r="E21" s="3">
        <v>10438</v>
      </c>
    </row>
    <row r="22" spans="1:5" ht="15.75" customHeight="1" x14ac:dyDescent="0.45">
      <c r="A22" s="4" t="s">
        <v>32</v>
      </c>
      <c r="B22" s="2" t="s">
        <v>31</v>
      </c>
      <c r="C22" s="2" t="s">
        <v>30</v>
      </c>
      <c r="D22" s="2" t="s">
        <v>29</v>
      </c>
      <c r="E22" s="3">
        <v>13625</v>
      </c>
    </row>
    <row r="23" spans="1:5" ht="15.75" customHeight="1" x14ac:dyDescent="0.45">
      <c r="A23" s="4" t="s">
        <v>28</v>
      </c>
      <c r="B23" s="2" t="s">
        <v>27</v>
      </c>
      <c r="C23" s="2" t="s">
        <v>26</v>
      </c>
      <c r="D23" s="2" t="s">
        <v>25</v>
      </c>
      <c r="E23" s="3">
        <v>2980</v>
      </c>
    </row>
    <row r="24" spans="1:5" ht="15.75" customHeight="1" x14ac:dyDescent="0.45">
      <c r="A24" s="4" t="s">
        <v>24</v>
      </c>
      <c r="B24" s="2" t="s">
        <v>23</v>
      </c>
      <c r="C24" s="2" t="s">
        <v>22</v>
      </c>
      <c r="D24" s="2" t="s">
        <v>21</v>
      </c>
      <c r="E24" s="3">
        <v>10840</v>
      </c>
    </row>
    <row r="25" spans="1:5" ht="15.75" customHeight="1" x14ac:dyDescent="0.45">
      <c r="A25" s="4" t="s">
        <v>20</v>
      </c>
      <c r="B25" s="2" t="s">
        <v>19</v>
      </c>
      <c r="C25" s="2" t="s">
        <v>18</v>
      </c>
      <c r="D25" s="2" t="s">
        <v>17</v>
      </c>
      <c r="E25" s="3">
        <v>6501</v>
      </c>
    </row>
    <row r="26" spans="1:5" ht="15.75" customHeight="1" x14ac:dyDescent="0.45"/>
    <row r="27" spans="1:5" ht="15.75" customHeight="1" x14ac:dyDescent="0.45">
      <c r="D27" s="5" t="s">
        <v>16</v>
      </c>
      <c r="E27" s="6">
        <v>220960</v>
      </c>
    </row>
    <row r="28" spans="1:5" ht="15.75" customHeight="1" x14ac:dyDescent="0.45"/>
    <row r="29" spans="1:5" ht="15.75" customHeight="1" x14ac:dyDescent="0.45">
      <c r="A29" s="5" t="s">
        <v>15</v>
      </c>
    </row>
    <row r="30" spans="1:5" ht="15.75" customHeight="1" x14ac:dyDescent="0.45">
      <c r="A30" s="2" t="s">
        <v>0</v>
      </c>
      <c r="B30" s="2" t="s">
        <v>1</v>
      </c>
      <c r="C30" s="2" t="s">
        <v>2</v>
      </c>
      <c r="D30" s="2" t="s">
        <v>3</v>
      </c>
      <c r="E30" s="2" t="s">
        <v>14</v>
      </c>
    </row>
    <row r="31" spans="1:5" ht="15.75" customHeight="1" x14ac:dyDescent="0.45">
      <c r="A31" s="4"/>
      <c r="E31" s="3"/>
    </row>
    <row r="32" spans="1:5" ht="15.75" customHeight="1" x14ac:dyDescent="0.45">
      <c r="A32" s="4"/>
      <c r="E32" s="3"/>
    </row>
    <row r="33" spans="1:5" ht="15.75" customHeight="1" x14ac:dyDescent="0.45">
      <c r="A33" s="4"/>
      <c r="E33" s="3"/>
    </row>
    <row r="34" spans="1:5" ht="15.75" customHeight="1" x14ac:dyDescent="0.45">
      <c r="A34" s="4"/>
      <c r="E34" s="3"/>
    </row>
    <row r="35" spans="1:5" ht="15.75" customHeight="1" x14ac:dyDescent="0.45">
      <c r="A35" s="4"/>
      <c r="E35" s="3"/>
    </row>
    <row r="36" spans="1:5" ht="15.75" customHeight="1" x14ac:dyDescent="0.45">
      <c r="A36" s="4"/>
      <c r="E36" s="3"/>
    </row>
    <row r="37" spans="1:5" ht="15.75" customHeight="1" x14ac:dyDescent="0.45">
      <c r="A37" s="4"/>
      <c r="E37" s="3"/>
    </row>
    <row r="38" spans="1:5" ht="15.75" customHeight="1" x14ac:dyDescent="0.45">
      <c r="A38" s="4"/>
      <c r="E38" s="3"/>
    </row>
    <row r="39" spans="1:5" ht="15.75" customHeight="1" x14ac:dyDescent="0.45">
      <c r="A39" s="4"/>
      <c r="E39" s="3"/>
    </row>
    <row r="40" spans="1:5" ht="15.75" customHeight="1" x14ac:dyDescent="0.45">
      <c r="A40" s="4"/>
      <c r="E40" s="3"/>
    </row>
    <row r="41" spans="1:5" ht="15.75" customHeight="1" x14ac:dyDescent="0.45"/>
    <row r="42" spans="1:5" ht="15.75" customHeight="1" x14ac:dyDescent="0.45"/>
    <row r="43" spans="1:5" ht="15.75" customHeight="1" x14ac:dyDescent="0.45"/>
    <row r="44" spans="1:5" ht="15.75" customHeight="1" x14ac:dyDescent="0.45"/>
    <row r="45" spans="1:5" ht="15.75" customHeight="1" x14ac:dyDescent="0.45"/>
    <row r="46" spans="1:5" ht="15.75" customHeight="1" x14ac:dyDescent="0.45"/>
    <row r="47" spans="1:5" ht="15.75" customHeight="1" x14ac:dyDescent="0.45"/>
    <row r="48" spans="1:5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E28" sqref="E28"/>
    </sheetView>
  </sheetViews>
  <sheetFormatPr defaultRowHeight="14.25" x14ac:dyDescent="0.45"/>
  <cols>
    <col min="1" max="1" width="12" customWidth="1"/>
    <col min="2" max="2" width="35" customWidth="1"/>
    <col min="3" max="3" width="25" customWidth="1"/>
    <col min="4" max="4" width="40" customWidth="1"/>
    <col min="5" max="5" width="32.1328125" bestFit="1" customWidth="1"/>
    <col min="6" max="6" width="10" customWidth="1"/>
    <col min="7" max="7" width="20" customWidth="1"/>
    <col min="8" max="8" width="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/>
      <c r="G1" s="1"/>
      <c r="H1" s="1"/>
    </row>
    <row r="2" spans="1:8" x14ac:dyDescent="0.45">
      <c r="A2" t="s">
        <v>4</v>
      </c>
      <c r="B2" t="s">
        <v>5</v>
      </c>
      <c r="C2" t="s">
        <v>6</v>
      </c>
      <c r="D2" t="s">
        <v>7</v>
      </c>
      <c r="E2">
        <v>5474</v>
      </c>
    </row>
    <row r="3" spans="1:8" x14ac:dyDescent="0.45">
      <c r="A3" t="s">
        <v>4</v>
      </c>
      <c r="B3" t="s">
        <v>8</v>
      </c>
      <c r="C3" t="s">
        <v>9</v>
      </c>
      <c r="D3" t="s">
        <v>10</v>
      </c>
      <c r="E3">
        <v>7220</v>
      </c>
    </row>
    <row r="4" spans="1:8" x14ac:dyDescent="0.45">
      <c r="A4" t="s">
        <v>82</v>
      </c>
      <c r="B4" t="s">
        <v>5</v>
      </c>
      <c r="C4" t="s">
        <v>83</v>
      </c>
      <c r="D4" t="s">
        <v>84</v>
      </c>
      <c r="E4">
        <v>6709</v>
      </c>
    </row>
    <row r="5" spans="1:8" x14ac:dyDescent="0.45">
      <c r="A5" s="8">
        <v>45967</v>
      </c>
      <c r="B5" s="2" t="s">
        <v>19</v>
      </c>
      <c r="C5" t="s">
        <v>85</v>
      </c>
      <c r="D5" t="s">
        <v>86</v>
      </c>
      <c r="E5">
        <v>3598</v>
      </c>
    </row>
    <row r="6" spans="1:8" x14ac:dyDescent="0.45">
      <c r="A6" s="8">
        <v>45968</v>
      </c>
      <c r="B6" t="s">
        <v>8</v>
      </c>
      <c r="C6" t="s">
        <v>87</v>
      </c>
      <c r="D6" t="s">
        <v>88</v>
      </c>
      <c r="E6">
        <v>8414</v>
      </c>
    </row>
    <row r="7" spans="1:8" x14ac:dyDescent="0.45">
      <c r="A7" s="8">
        <v>45969</v>
      </c>
      <c r="B7" t="s">
        <v>5</v>
      </c>
      <c r="C7" t="s">
        <v>89</v>
      </c>
      <c r="D7" t="s">
        <v>90</v>
      </c>
      <c r="E7">
        <v>3995</v>
      </c>
    </row>
    <row r="8" spans="1:8" x14ac:dyDescent="0.45">
      <c r="A8" s="8">
        <v>45970</v>
      </c>
      <c r="B8" t="s">
        <v>5</v>
      </c>
      <c r="C8" s="9" t="s">
        <v>110</v>
      </c>
      <c r="D8" s="9" t="s">
        <v>111</v>
      </c>
      <c r="E8">
        <v>1649</v>
      </c>
    </row>
    <row r="9" spans="1:8" x14ac:dyDescent="0.45">
      <c r="A9" s="8">
        <v>45970</v>
      </c>
      <c r="B9" t="s">
        <v>5</v>
      </c>
      <c r="C9" s="9" t="s">
        <v>108</v>
      </c>
      <c r="D9" s="9" t="s">
        <v>109</v>
      </c>
      <c r="E9">
        <v>10765</v>
      </c>
    </row>
    <row r="10" spans="1:8" x14ac:dyDescent="0.45">
      <c r="A10" s="8">
        <v>45971</v>
      </c>
      <c r="B10" t="s">
        <v>91</v>
      </c>
      <c r="C10" t="s">
        <v>92</v>
      </c>
      <c r="D10" t="s">
        <v>93</v>
      </c>
      <c r="E10">
        <v>2350</v>
      </c>
    </row>
    <row r="11" spans="1:8" x14ac:dyDescent="0.45">
      <c r="A11" s="8">
        <v>45971</v>
      </c>
      <c r="B11" t="s">
        <v>8</v>
      </c>
      <c r="C11" t="s">
        <v>94</v>
      </c>
      <c r="D11" t="s">
        <v>95</v>
      </c>
      <c r="E11">
        <v>8982</v>
      </c>
    </row>
    <row r="12" spans="1:8" x14ac:dyDescent="0.45">
      <c r="A12" s="8">
        <v>45973</v>
      </c>
      <c r="B12" t="s">
        <v>101</v>
      </c>
      <c r="C12" t="s">
        <v>100</v>
      </c>
      <c r="D12" t="s">
        <v>102</v>
      </c>
      <c r="E12">
        <v>10838</v>
      </c>
    </row>
    <row r="13" spans="1:8" x14ac:dyDescent="0.45">
      <c r="A13" s="8">
        <v>45973</v>
      </c>
      <c r="B13" t="s">
        <v>103</v>
      </c>
      <c r="C13" t="s">
        <v>106</v>
      </c>
      <c r="D13" t="s">
        <v>107</v>
      </c>
      <c r="E13">
        <v>3095</v>
      </c>
    </row>
    <row r="14" spans="1:8" x14ac:dyDescent="0.45">
      <c r="A14" s="8">
        <v>45973</v>
      </c>
      <c r="B14" t="s">
        <v>103</v>
      </c>
      <c r="C14" t="s">
        <v>104</v>
      </c>
      <c r="D14" t="s">
        <v>105</v>
      </c>
      <c r="E14">
        <v>3025</v>
      </c>
    </row>
    <row r="15" spans="1:8" x14ac:dyDescent="0.45">
      <c r="A15" s="8">
        <v>45973</v>
      </c>
      <c r="B15" t="s">
        <v>5</v>
      </c>
      <c r="C15" t="s">
        <v>96</v>
      </c>
      <c r="D15" t="s">
        <v>97</v>
      </c>
      <c r="E15">
        <v>11527</v>
      </c>
    </row>
    <row r="16" spans="1:8" x14ac:dyDescent="0.45">
      <c r="A16" s="8">
        <v>45978</v>
      </c>
      <c r="B16" t="s">
        <v>8</v>
      </c>
      <c r="C16" t="s">
        <v>98</v>
      </c>
      <c r="D16" t="s">
        <v>99</v>
      </c>
      <c r="E16">
        <v>7220</v>
      </c>
    </row>
    <row r="17" spans="1:5" x14ac:dyDescent="0.45">
      <c r="A17" s="8">
        <v>45980</v>
      </c>
      <c r="B17" s="9" t="s">
        <v>112</v>
      </c>
      <c r="C17" s="9" t="s">
        <v>113</v>
      </c>
      <c r="D17" s="9" t="s">
        <v>114</v>
      </c>
      <c r="E17">
        <v>17900</v>
      </c>
    </row>
    <row r="18" spans="1:5" x14ac:dyDescent="0.45">
      <c r="A18" s="8">
        <v>45981</v>
      </c>
      <c r="B18" t="s">
        <v>5</v>
      </c>
      <c r="C18" s="9" t="s">
        <v>115</v>
      </c>
      <c r="D18" s="9" t="s">
        <v>116</v>
      </c>
      <c r="E18">
        <v>4097</v>
      </c>
    </row>
    <row r="19" spans="1:5" x14ac:dyDescent="0.45">
      <c r="A19" s="8">
        <v>45984</v>
      </c>
      <c r="B19" t="s">
        <v>91</v>
      </c>
      <c r="C19" s="9" t="s">
        <v>117</v>
      </c>
      <c r="D19" s="9" t="s">
        <v>118</v>
      </c>
      <c r="E19">
        <v>7160</v>
      </c>
    </row>
    <row r="20" spans="1:5" x14ac:dyDescent="0.45">
      <c r="A20" s="8">
        <v>45986</v>
      </c>
      <c r="B20" t="s">
        <v>8</v>
      </c>
      <c r="C20" s="9" t="s">
        <v>119</v>
      </c>
      <c r="D20" s="9" t="s">
        <v>120</v>
      </c>
      <c r="E20">
        <v>4109</v>
      </c>
    </row>
    <row r="21" spans="1:5" x14ac:dyDescent="0.45">
      <c r="A21" s="8">
        <v>45986</v>
      </c>
      <c r="B21" t="s">
        <v>8</v>
      </c>
      <c r="C21" s="9" t="s">
        <v>121</v>
      </c>
      <c r="D21" s="9" t="s">
        <v>122</v>
      </c>
      <c r="E21">
        <v>2994</v>
      </c>
    </row>
    <row r="22" spans="1:5" x14ac:dyDescent="0.45">
      <c r="A22" s="8">
        <v>45989</v>
      </c>
      <c r="B22" s="2" t="s">
        <v>19</v>
      </c>
      <c r="C22" s="9" t="s">
        <v>123</v>
      </c>
      <c r="D22" s="9" t="s">
        <v>124</v>
      </c>
      <c r="E22">
        <v>1211</v>
      </c>
    </row>
    <row r="23" spans="1:5" x14ac:dyDescent="0.45">
      <c r="A23" s="8">
        <v>45989</v>
      </c>
      <c r="B23" t="s">
        <v>5</v>
      </c>
      <c r="C23" s="9" t="s">
        <v>125</v>
      </c>
      <c r="D23" s="9" t="s">
        <v>126</v>
      </c>
      <c r="E23">
        <v>4688</v>
      </c>
    </row>
    <row r="28" spans="1:5" x14ac:dyDescent="0.45">
      <c r="D28" s="5" t="s">
        <v>16</v>
      </c>
      <c r="E28" s="10">
        <f>SUM(E2:E27)</f>
        <v>137020</v>
      </c>
    </row>
    <row r="53" spans="6:10" x14ac:dyDescent="0.45">
      <c r="F53" t="s">
        <v>11</v>
      </c>
      <c r="G53">
        <f>SUM(E2:E3)</f>
        <v>12694</v>
      </c>
      <c r="I53">
        <f>SUM(G2:G3)</f>
        <v>0</v>
      </c>
      <c r="J53" t="s">
        <v>12</v>
      </c>
    </row>
    <row r="54" spans="6:10" x14ac:dyDescent="0.45">
      <c r="F54" t="s">
        <v>13</v>
      </c>
      <c r="G54">
        <f>G53</f>
        <v>12694</v>
      </c>
      <c r="I54">
        <f>I53</f>
        <v>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 2025 Receipts</vt:lpstr>
      <vt:lpstr>November 2025 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ehigbai</cp:lastModifiedBy>
  <dcterms:created xsi:type="dcterms:W3CDTF">2025-11-03T16:12:06Z</dcterms:created>
  <dcterms:modified xsi:type="dcterms:W3CDTF">2025-11-30T18:39:19Z</dcterms:modified>
</cp:coreProperties>
</file>