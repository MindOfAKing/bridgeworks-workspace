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74b19eb5e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f6ce5ce57942f7"/>
    <x:sheet xmlns:r="http://schemas.openxmlformats.org/officeDocument/2006/relationships" name="Market Radar" sheetId="2" r:id="R14cc75f9c12b4200"/>
    <x:sheet xmlns:r="http://schemas.openxmlformats.org/officeDocument/2006/relationships" name="Money Signals" sheetId="3" r:id="R188ff47c4eea4807"/>
    <x:sheet xmlns:r="http://schemas.openxmlformats.org/officeDocument/2006/relationships" name="Discourse" sheetId="4" r:id="Ra24a1fe150594e4a"/>
    <x:sheet xmlns:r="http://schemas.openxmlformats.org/officeDocument/2006/relationships" name="Trigger Playbook" sheetId="5" r:id="R1e09258752334772"/>
    <x:sheet xmlns:r="http://schemas.openxmlformats.org/officeDocument/2006/relationships" name="Source Register" sheetId="6" r:id="R5e954d9ebf444bde"/>
    <x:sheet xmlns:r="http://schemas.openxmlformats.org/officeDocument/2006/relationships" name="Settings" sheetId="7" r:id="R9688b09b9125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12">
    <x:font>
      <x:sz val="11"/>
      <x:name val="Carlito"/>
    </x:font>
    <x:font>
      <x:sz val="10"/>
      <x:color rgb="FF1C2B3A"/>
      <x:name val="Arial"/>
    </x:font>
    <x:font>
      <x:b/>
      <x:sz val="10"/>
      <x:color rgb="FFFFFFFF"/>
      <x:name val="Arial"/>
    </x:font>
    <x:font>
      <x:b/>
      <x:sz val="24"/>
      <x:color rgb="FFFFFFFF"/>
      <x:name val="Arial"/>
    </x:font>
    <x:font>
      <x:sz val="10"/>
      <x:color rgb="FFFFFFFF"/>
      <x:name val="Arial"/>
    </x:font>
    <x:font>
      <x:b/>
      <x:sz val="11"/>
      <x:color rgb="FFFFFFFF"/>
      <x:name val="Carlito"/>
    </x:font>
    <x:font>
      <x:b/>
      <x:sz val="22"/>
      <x:color rgb="FF0F1A2E"/>
      <x:name val="Carlito"/>
    </x:font>
    <x:font>
      <x:sz val="12"/>
      <x:color rgb="FF0F1A2E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22"/>
      <x:color rgb="FF0F1A2E"/>
      <x:name val="Arial"/>
    </x:font>
    <x:font>
      <x:sz val="12"/>
      <x:color rgb="FF0F1A2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F1A2E"/>
      </x:patternFill>
    </x:fill>
    <x:fill>
      <x:patternFill patternType="solid">
        <x:fgColor rgb="FFF3E5B7"/>
      </x:patternFill>
    </x:fill>
    <x:fill>
      <x:patternFill patternType="solid">
        <x:fgColor rgb="FFB8860B"/>
      </x:patternFill>
    </x:fill>
    <x:fill>
      <x:patternFill patternType="solid">
        <x:fgColor rgb="FF1C2B3A"/>
      </x:patternFill>
    </x:fill>
    <x:fill>
      <x:patternFill patternType="solid">
        <x:fgColor rgb="FFF5F0E8"/>
      </x:patternFill>
    </x:fill>
  </x:fills>
  <x:borders count="5">
    <x:border/>
    <x:border>
      <x:left style="thin">
        <x:color rgb="FFB8860B"/>
      </x:left>
      <x:top style="thin">
        <x:color rgb="FFB8860B"/>
      </x:top>
    </x:border>
    <x:border>
      <x:right style="thin">
        <x:color rgb="FFB8860B"/>
      </x:right>
      <x:top style="thin">
        <x:color rgb="FFB8860B"/>
      </x:top>
    </x:border>
    <x:border>
      <x:left style="thin">
        <x:color rgb="FFB8860B"/>
      </x:left>
      <x:bottom style="thin">
        <x:color rgb="FFB8860B"/>
      </x:bottom>
    </x:border>
    <x:border>
      <x:right style="thin">
        <x:color rgb="FFB8860B"/>
      </x:right>
      <x:bottom style="thin">
        <x:color rgb="FFB8860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0" fillId="6" borderId="2" xfId="0" applyNumberFormat="1" applyFont="1" applyFill="1" applyBorder="1" applyAlignment="1">
      <x:alignment horizontal="center" vertic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10" fillId="6" borderId="4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8" fillId="6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4A6741"/>
      </x:font>
      <x:fill>
        <x:patternFill patternType="solid">
          <x:bgColor rgb="FFDDE8DC"/>
        </x:patternFill>
      </x:fill>
    </x:dxf>
    <x:dxf>
      <x:font>
        <x:color rgb="FF8E352E"/>
      </x:font>
      <x:fill>
        <x:patternFill patternType="solid">
          <x:bgColor rgb="FFF3D6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7d22db29e45a2" /><Relationship Type="http://schemas.openxmlformats.org/officeDocument/2006/relationships/theme" Target="/xl/theme/theme1.xml" Id="R37b25e75cf1d4d1d" /><Relationship Type="http://schemas.openxmlformats.org/officeDocument/2006/relationships/sharedStrings" Target="/xl/sharedStrings.xml" Id="Rb3805969c7064405" /><Relationship Type="http://schemas.openxmlformats.org/officeDocument/2006/relationships/worksheet" Target="/xl/worksheets/sheet1.xml" Id="Radf6ce5ce57942f7" /><Relationship Type="http://schemas.openxmlformats.org/officeDocument/2006/relationships/worksheet" Target="/xl/worksheets/sheet2.xml" Id="R14cc75f9c12b4200" /><Relationship Type="http://schemas.openxmlformats.org/officeDocument/2006/relationships/worksheet" Target="/xl/worksheets/sheet3.xml" Id="R188ff47c4eea4807" /><Relationship Type="http://schemas.openxmlformats.org/officeDocument/2006/relationships/worksheet" Target="/xl/worksheets/sheet4.xml" Id="Ra24a1fe150594e4a" /><Relationship Type="http://schemas.openxmlformats.org/officeDocument/2006/relationships/worksheet" Target="/xl/worksheets/sheet5.xml" Id="R1e09258752334772" /><Relationship Type="http://schemas.openxmlformats.org/officeDocument/2006/relationships/worksheet" Target="/xl/worksheets/sheet6.xml" Id="R5e954d9ebf444bde" /><Relationship Type="http://schemas.openxmlformats.org/officeDocument/2006/relationships/worksheet" Target="/xl/worksheets/sheet7.xml" Id="R9688b09b912547e0" /><Relationship Type="http://schemas.microsoft.com/office/2017/10/relationships/person" Target="/xl/persons/person.xml" Id="Rc965f1b78f844d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dbcbe8b74440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Opportunity score by market lane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'Dashboard'!$A$11:$A$21</c:f>
              <c:strCache>
                <c:ptCount val="0"/>
              </c:strCache>
            </c:strRef>
          </c:cat>
          <c:val>
            <c:numRef>
              <c:f>'Dashboard'!$B$11:$B$21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dbcbe8b74440c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mmanuel Ehigbai" id="{51A22417-D69D-4108-AD76-7ACEE9AFBAA4}"/>
</xltc:personList>
</file>

<file path=xl/tables/table1.xml><?xml version="1.0" encoding="utf-8"?>
<x:table xmlns:x="http://schemas.openxmlformats.org/spreadsheetml/2006/main" id="1" name="MarketRadarTable" displayName="MarketRadarTable" ref="A1:N12" headerRowCount="1" totalsRowCount="0" totalsRowShown="0">
  <x:tableColumns count="14">
    <x:tableColumn id="1" name="Rank"/>
    <x:tableColumn id="2" name="Market lane"/>
    <x:tableColumn id="3" name="Target buyer"/>
    <x:tableColumn id="4" name="Money signal"/>
    <x:tableColumn id="5" name="Money"/>
    <x:tableColumn id="6" name="Budget"/>
    <x:tableColumn id="7" name="Discourse"/>
    <x:tableColumn id="8" name="Urgency"/>
    <x:tableColumn id="9" name="Advantage"/>
    <x:tableColumn id="10" name="Access"/>
    <x:tableColumn id="11" name="Weighted score"/>
    <x:tableColumn id="12" name="Tier"/>
    <x:tableColumn id="13" name="Best entry offer"/>
    <x:tableColumn id="14" name="Evidence and ca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eySignalsTable" displayName="MoneySignalsTable" ref="A1:M15" headerRowCount="1" totalsRowCount="0" totalsRowShown="0">
  <x:tableColumns count="13">
    <x:tableColumn id="1" name="Signal ID"/>
    <x:tableColumn id="2" name="Observed"/>
    <x:tableColumn id="3" name="Market"/>
    <x:tableColumn id="4" name="Buyer"/>
    <x:tableColumn id="5" name="Signal"/>
    <x:tableColumn id="6" name="Evidence type"/>
    <x:tableColumn id="7" name="Budget proof"/>
    <x:tableColumn id="8" name="Service line"/>
    <x:tableColumn id="9" name="Freshness"/>
    <x:tableColumn id="10" name="Confidence"/>
    <x:tableColumn id="11" name="Status"/>
    <x:tableColumn id="12" name="Source URL"/>
    <x:tableColumn id="13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ourseTable" displayName="DiscourseTable" ref="A1:J11" headerRowCount="1" totalsRowCount="0" totalsRowShown="0">
  <x:tableColumns count="10">
    <x:tableColumn id="1" name="Theme ID"/>
    <x:tableColumn id="2" name="Date"/>
    <x:tableColumn id="3" name="Market"/>
    <x:tableColumn id="4" name="Channel"/>
    <x:tableColumn id="5" name="Buyer language or paraphrase"/>
    <x:tableColumn id="6" name="Pain"/>
    <x:tableColumn id="7" name="Purchase blocker"/>
    <x:tableColumn id="8" name="Offer implication"/>
    <x:tableColumn id="9" name="Confidence"/>
    <x:tableColumn id="10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iggerPlaybookTable" displayName="TriggerPlaybookTable" ref="A1:I11" headerRowCount="1" totalsRowCount="0" totalsRowShown="0">
  <x:tableColumns count="9">
    <x:tableColumn id="1" name="Trigger ID"/>
    <x:tableColumn id="2" name="Observable event"/>
    <x:tableColumn id="3" name="Detection source"/>
    <x:tableColumn id="4" name="Action window"/>
    <x:tableColumn id="5" name="Entry offer"/>
    <x:tableColumn id="6" name="Buyer"/>
    <x:tableColumn id="7" name="Unconventional play"/>
    <x:tableColumn id="8" name="Status"/>
    <x:tableColumn id="9" name="Disqualifi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Table" displayName="SourceRegisterTable" ref="A1:G19" headerRowCount="1" totalsRowCount="0" totalsRowShown="0">
  <x:tableColumns count="7">
    <x:tableColumn id="1" name="Source ID"/>
    <x:tableColumn id="2" name="Publisher"/>
    <x:tableColumn id="3" name="Evidence"/>
    <x:tableColumn id="4" name="Type"/>
    <x:tableColumn id="5" name="Accessed"/>
    <x:tableColumn id="6" name="Confidence"/>
    <x:tableColumn id="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2b7932966f47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51a96e8f54a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eecef25e84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8905f88cd47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147a7a116646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371306b9f749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12" t="str">
        <x:v>BridgeWorks Market Money and Discourse Radar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34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6" customHeight="1">
      <x:c r="A3" s="15" t="str">
        <x:v>Where budget-bearing demand is visible, what buyers are saying, and which triggers deserve action | 1 August 2026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22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 ht="22" customHeight="1">
      <x:c r="A5" s="41" t="str">
        <x:v>Market lanes</x:v>
      </x:c>
      <x:c r="B5" s="41"/>
      <x:c r="C5" s="40"/>
      <x:c r="D5" s="41" t="str">
        <x:v>Hunt Now</x:v>
      </x:c>
      <x:c r="E5" s="41"/>
      <x:c r="F5" s="40"/>
      <x:c r="G5" s="41" t="str">
        <x:v>Money signals</x:v>
      </x:c>
      <x:c r="H5" s="41"/>
      <x:c r="I5" s="40"/>
      <x:c r="J5" s="41" t="str">
        <x:v>Urgent triggers</x:v>
      </x:c>
      <x:c r="K5" s="41"/>
      <x:c r="L5" s="40"/>
    </x:row>
    <x:row r="6" ht="34" customHeight="1">
      <x:c r="A6" s="42" t="n">
        <x:f>COUNTA('Market Radar'!B2:B12)</x:f>
        <x:v>11</x:v>
      </x:c>
      <x:c r="B6" s="43"/>
      <x:c r="C6" s="40"/>
      <x:c r="D6" s="42" t="n">
        <x:f>COUNTIF('Market Radar'!L2:L12,"Hunt Now")</x:f>
        <x:v>3</x:v>
      </x:c>
      <x:c r="E6" s="43"/>
      <x:c r="F6" s="40"/>
      <x:c r="G6" s="42" t="n">
        <x:f>COUNTA('Money Signals'!A2:A15)</x:f>
        <x:v>14</x:v>
      </x:c>
      <x:c r="H6" s="43"/>
      <x:c r="I6" s="40"/>
      <x:c r="J6" s="42" t="n">
        <x:f>COUNTIF('Trigger Playbook'!H2:H11,"Now")</x:f>
        <x:v>3</x:v>
      </x:c>
      <x:c r="K6" s="43"/>
      <x:c r="L6" s="40"/>
    </x:row>
    <x:row r="7" ht="34" customHeight="1">
      <x:c r="A7" s="44"/>
      <x:c r="B7" s="45"/>
      <x:c r="C7" s="40"/>
      <x:c r="D7" s="44"/>
      <x:c r="E7" s="45"/>
      <x:c r="F7" s="40"/>
      <x:c r="G7" s="44"/>
      <x:c r="H7" s="45"/>
      <x:c r="I7" s="40"/>
      <x:c r="J7" s="44"/>
      <x:c r="K7" s="45"/>
      <x:c r="L7" s="40"/>
    </x:row>
    <x:row r="8" ht="22" customHeight="1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 ht="22" customHeight="1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 ht="22" customHeight="1">
      <x:c r="A10" s="46" t="str">
        <x:v>Market lane</x:v>
      </x:c>
      <x:c r="B10" s="46" t="str">
        <x:v>Score</x:v>
      </x:c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 ht="22" customHeight="1">
      <x:c r="A11" s="40" t="str">
        <x:f>'Market Radar'!B2</x:f>
        <x:v>EU customer-facing AI operators</x:v>
      </x:c>
      <x:c r="B11" s="40" t="n">
        <x:f>'Market Radar'!K2</x:f>
        <x:v>84.00000000000001</x:v>
      </x:c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 ht="22" customHeight="1">
      <x:c r="A12" s="40" t="str">
        <x:f>'Market Radar'!B3</x:f>
        <x:v>UK HubSpot and RevOps professional services</x:v>
      </x:c>
      <x:c r="B12" s="40" t="n">
        <x:f>'Market Radar'!K3</x:f>
        <x:v>85</x:v>
      </x:c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 ht="22" customHeight="1">
      <x:c r="A13" s="40" t="str">
        <x:f>'Market Radar'!B4</x:f>
        <x:v>UAE multi-location service operators</x:v>
      </x:c>
      <x:c r="B13" s="40" t="n">
        <x:f>'Market Radar'!K4</x:f>
        <x:v>83</x:v>
      </x:c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 ht="22" customHeight="1">
      <x:c r="A14" s="40" t="str">
        <x:f>'Market Radar'!B5</x:f>
        <x:v>Netherlands and Belgium international B2B SMEs</x:v>
      </x:c>
      <x:c r="B14" s="40" t="n">
        <x:f>'Market Radar'!K5</x:f>
        <x:v>79</x:v>
      </x:c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 ht="22" customHeight="1">
      <x:c r="A15" s="40" t="str">
        <x:f>'Market Radar'!B6</x:f>
        <x:v>Global shadow-RFP feed</x:v>
      </x:c>
      <x:c r="B15" s="40" t="n">
        <x:f>'Market Radar'!K6</x:f>
        <x:v>79</x:v>
      </x:c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 ht="22" customHeight="1">
      <x:c r="A16" s="40" t="str">
        <x:f>'Market Radar'!B7</x:f>
        <x:v>African diaspora firms in UK, EU, and UAE</x:v>
      </x:c>
      <x:c r="B16" s="40" t="n">
        <x:f>'Market Radar'!K7</x:f>
        <x:v>74.99999999999999</x:v>
      </x:c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 ht="22" customHeight="1">
      <x:c r="A17" s="40" t="str">
        <x:f>'Market Radar'!B8</x:f>
        <x:v>Ireland grant-backed SMEs under 50 staff</x:v>
      </x:c>
      <x:c r="B17" s="40" t="n">
        <x:f>'Market Radar'!K8</x:f>
        <x:v>73</x:v>
      </x:c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 ht="22" customHeight="1">
      <x:c r="A18" s="40" t="str">
        <x:f>'Market Radar'!B9</x:f>
        <x:v>DACH operational mid-market</x:v>
      </x:c>
      <x:c r="B18" s="40" t="n">
        <x:f>'Market Radar'!K9</x:f>
        <x:v>71.00000000000001</x:v>
      </x:c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 ht="22" customHeight="1">
      <x:c r="A19" s="40" t="str">
        <x:f>'Market Radar'!B10</x:f>
        <x:v>Ghana and Nigeria funded SME programmes</x:v>
      </x:c>
      <x:c r="B19" s="40" t="n">
        <x:f>'Market Radar'!K10</x:f>
        <x:v>65</x:v>
      </x:c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 ht="22" customHeight="1">
      <x:c r="A20" s="40" t="str">
        <x:f>'Market Radar'!B11</x:f>
        <x:v>Hungary export and foreign-owned firms only</x:v>
      </x:c>
      <x:c r="B20" s="40" t="n">
        <x:f>'Market Radar'!K11</x:f>
        <x:v>59.00000000000001</x:v>
      </x:c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 ht="22" customHeight="1">
      <x:c r="A21" s="40" t="str">
        <x:f>'Market Radar'!B12</x:f>
        <x:v>Generic local microbusinesses</x:v>
      </x:c>
      <x:c r="B21" s="40" t="n">
        <x:f>'Market Radar'!K12</x:f>
        <x:v>36</x:v>
      </x:c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 ht="22" customHeight="1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 ht="22" customHeight="1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 ht="22" customHeight="1">
      <x:c r="A24" s="46" t="str">
        <x:v>Highest-conviction changes to the acquisition model</x:v>
      </x:c>
      <x:c r="B24" s="46"/>
      <x:c r="C24" s="46"/>
      <x:c r="D24" s="46"/>
      <x:c r="E24" s="46"/>
      <x:c r="F24" s="46"/>
      <x:c r="G24" s="40"/>
      <x:c r="H24" s="46" t="str">
        <x:v>Current operating thesis</x:v>
      </x:c>
      <x:c r="I24" s="46"/>
      <x:c r="J24" s="46"/>
      <x:c r="K24" s="46"/>
      <x:c r="L24" s="46"/>
    </x:row>
    <x:row r="25" ht="34" customHeight="1">
      <x:c r="A25" s="47" t="str">
        <x:v>1  Prospect from money signals, not weak websites</x:v>
      </x:c>
      <x:c r="B25" s="47"/>
      <x:c r="C25" s="47"/>
      <x:c r="D25" s="47" t="str">
        <x:v>A broken site is not evidence of budget.</x:v>
      </x:c>
      <x:c r="E25" s="47"/>
      <x:c r="F25" s="47"/>
      <x:c r="G25" s="40"/>
      <x:c r="H25" s="48" t="str">
        <x:v>BridgeWorks should not sell generic audits to arbitrary local businesses. It should detect a budget-bearing event, identify the decision owner, produce an artefact tied to that event, and enter through the route with the lowest trust friction. Geography is a filter. Buyer moment is the market.</x:v>
      </x:c>
      <x:c r="I25" s="48"/>
      <x:c r="J25" s="48"/>
      <x:c r="K25" s="48"/>
      <x:c r="L25" s="48"/>
    </x:row>
    <x:row r="26" ht="34" customHeight="1">
      <x:c r="A26" s="47" t="str">
        <x:v>2  Use job posts as shadow RFPs</x:v>
      </x:c>
      <x:c r="B26" s="47"/>
      <x:c r="C26" s="47"/>
      <x:c r="D26" s="47" t="str">
        <x:v>Hiring exposes stack, urgency, buyer, and intended outcomes.</x:v>
      </x:c>
      <x:c r="E26" s="47"/>
      <x:c r="F26" s="47"/>
      <x:c r="G26" s="40"/>
      <x:c r="H26" s="48"/>
      <x:c r="I26" s="48"/>
      <x:c r="J26" s="48"/>
      <x:c r="K26" s="48"/>
      <x:c r="L26" s="48"/>
    </x:row>
    <x:row r="27" ht="34" customHeight="1">
      <x:c r="A27" s="47" t="str">
        <x:v>3  Exploit deadline markets</x:v>
      </x:c>
      <x:c r="B27" s="47"/>
      <x:c r="C27" s="47"/>
      <x:c r="D27" s="47" t="str">
        <x:v>EU AI transparency creates a time-bounded readiness need.</x:v>
      </x:c>
      <x:c r="E27" s="47"/>
      <x:c r="F27" s="47"/>
      <x:c r="G27" s="40"/>
      <x:c r="H27" s="48"/>
      <x:c r="I27" s="48"/>
      <x:c r="J27" s="48"/>
      <x:c r="K27" s="48"/>
      <x:c r="L27" s="48"/>
    </x:row>
    <x:row r="28" ht="34" customHeight="1">
      <x:c r="A28" s="47" t="str">
        <x:v>4  Sell funded cohorts in Africa</x:v>
      </x:c>
      <x:c r="B28" s="47"/>
      <x:c r="C28" s="47"/>
      <x:c r="D28" s="47" t="str">
        <x:v>Institutions can finance delivery that microbusinesses cannot.</x:v>
      </x:c>
      <x:c r="E28" s="47"/>
      <x:c r="F28" s="47"/>
      <x:c r="G28" s="40"/>
      <x:c r="H28" s="48"/>
      <x:c r="I28" s="48"/>
      <x:c r="J28" s="48"/>
      <x:c r="K28" s="48"/>
      <x:c r="L28" s="48"/>
    </x:row>
    <x:row r="29" ht="34" customHeight="1">
      <x:c r="A29" s="47" t="str">
        <x:v>5  Build partner multipliers</x:v>
      </x:c>
      <x:c r="B29" s="47"/>
      <x:c r="C29" s="47"/>
      <x:c r="D29" s="47" t="str">
        <x:v>Accountants, fractional CFOs, agencies, and advisers already hold trust.</x:v>
      </x:c>
      <x:c r="E29" s="47"/>
      <x:c r="F29" s="47"/>
      <x:c r="G29" s="40"/>
      <x:c r="H29" s="48"/>
      <x:c r="I29" s="48"/>
      <x:c r="J29" s="48"/>
      <x:c r="K29" s="48"/>
      <x:c r="L29" s="48"/>
    </x:row>
    <x:row r="30" ht="34" customHeight="1">
      <x:c r="A30" s="47" t="str">
        <x:v>6  Differentiate on ownership and evidence</x:v>
      </x:c>
      <x:c r="B30" s="47"/>
      <x:c r="C30" s="47"/>
      <x:c r="D30" s="47" t="str">
        <x:v>Evaluations, logs, handover, and process ownership counter AI-agency distrust.</x:v>
      </x:c>
      <x:c r="E30" s="47"/>
      <x:c r="F30" s="47"/>
      <x:c r="G30" s="40"/>
      <x:c r="H30" s="48"/>
      <x:c r="I30" s="48"/>
      <x:c r="J30" s="48"/>
      <x:c r="K30" s="48"/>
      <x:c r="L30" s="48"/>
    </x:row>
  </x:sheetData>
  <x:mergeCells>
    <x:mergeCell ref="A1:L2"/>
    <x:mergeCell ref="A3:L3"/>
    <x:mergeCell ref="A5:B5"/>
    <x:mergeCell ref="D5:E5"/>
    <x:mergeCell ref="G5:H5"/>
    <x:mergeCell ref="J5:K5"/>
    <x:mergeCell ref="A6:B7"/>
    <x:mergeCell ref="D6:E7"/>
    <x:mergeCell ref="G6:H7"/>
    <x:mergeCell ref="J6:K7"/>
    <x:mergeCell ref="A24:F24"/>
    <x:mergeCell ref="A25:C25"/>
    <x:mergeCell ref="D25:F25"/>
    <x:mergeCell ref="A26:C26"/>
    <x:mergeCell ref="D26:F26"/>
    <x:mergeCell ref="A27:C27"/>
    <x:mergeCell ref="D27:F27"/>
    <x:mergeCell ref="A28:C28"/>
    <x:mergeCell ref="D28:F28"/>
    <x:mergeCell ref="A29:C29"/>
    <x:mergeCell ref="D29:F29"/>
    <x:mergeCell ref="A30:C30"/>
    <x:mergeCell ref="D30:F30"/>
    <x:mergeCell ref="H24:L24"/>
    <x:mergeCell ref="H25:L30"/>
  </x:mergeCells>
  <x:pageMargins left="0.7" right="0.7" top="0.75" bottom="0.75" header="0.3" footer="0.3"/>
  <x:drawing xmlns:r="http://schemas.openxmlformats.org/officeDocument/2006/relationships" r:id="R7e2b7932966f47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8" hidden="0" customWidth="1"/>
    <x:col min="4" max="4" width="38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3" hidden="0" customWidth="1"/>
    <x:col min="12" max="12" width="15" hidden="0" customWidth="1"/>
    <x:col min="13" max="13" width="30" hidden="0" customWidth="1"/>
    <x:col min="14" max="14" width="48" hidden="0" customWidth="1"/>
  </x:cols>
  <x:sheetData>
    <x:row r="1">
      <x:c r="A1" s="6" t="str">
        <x:v>Rank</x:v>
      </x:c>
      <x:c r="B1" s="6" t="str">
        <x:v>Market lane</x:v>
      </x:c>
      <x:c r="C1" s="6" t="str">
        <x:v>Target buyer</x:v>
      </x:c>
      <x:c r="D1" s="6" t="str">
        <x:v>Money signal</x:v>
      </x:c>
      <x:c r="E1" s="6" t="str">
        <x:v>Money</x:v>
      </x:c>
      <x:c r="F1" s="6" t="str">
        <x:v>Budget</x:v>
      </x:c>
      <x:c r="G1" s="6" t="str">
        <x:v>Discourse</x:v>
      </x:c>
      <x:c r="H1" s="6" t="str">
        <x:v>Urgency</x:v>
      </x:c>
      <x:c r="I1" s="6" t="str">
        <x:v>Advantage</x:v>
      </x:c>
      <x:c r="J1" s="6" t="str">
        <x:v>Access</x:v>
      </x:c>
      <x:c r="K1" s="6" t="str">
        <x:v>Weighted score</x:v>
      </x:c>
      <x:c r="L1" s="6" t="str">
        <x:v>Tier</x:v>
      </x:c>
      <x:c r="M1" s="6" t="str">
        <x:v>Best entry offer</x:v>
      </x:c>
      <x:c r="N1" s="6" t="str">
        <x:v>Evidence and caution</x:v>
      </x:c>
    </x:row>
    <x:row r="2" ht="58" customHeight="1">
      <x:c r="A2" s="2" t="n">
        <x:f>COUNTIF($K$2:$K$12,"&gt;"&amp;K2)+1</x:f>
        <x:v>2</x:v>
      </x:c>
      <x:c r="B2" s="49" t="str">
        <x:v>EU customer-facing AI operators</x:v>
      </x:c>
      <x:c r="C2" s="49" t="str">
        <x:v>EU firms using chatbots, synthetic content, or AI-assisted public interactions</x:v>
      </x:c>
      <x:c r="D2" s="49" t="str">
        <x:v>AI Act Article 50 begins 2 Aug 2026</x:v>
      </x:c>
      <x:c r="E2" s="50" t="n">
        <x:v>4</x:v>
      </x:c>
      <x:c r="F2" s="50" t="n">
        <x:v>4</x:v>
      </x:c>
      <x:c r="G2" s="50" t="n">
        <x:v>5</x:v>
      </x:c>
      <x:c r="H2" s="50" t="n">
        <x:v>5</x:v>
      </x:c>
      <x:c r="I2" s="50" t="n">
        <x:v>4</x:v>
      </x:c>
      <x:c r="J2" s="50" t="n">
        <x:v>3</x:v>
      </x:c>
      <x:c r="K2" s="50" t="n">
        <x:f>(E2*'Settings'!$B$2+F2*'Settings'!$B$3+G2*'Settings'!$B$4+H2*'Settings'!$B$5+I2*'Settings'!$B$6+J2*'Settings'!$B$7)/5*100</x:f>
        <x:v>84.00000000000001</x:v>
      </x:c>
      <x:c r="L2" s="49" t="str">
        <x:f>IF(K2&gt;=80,"Hunt Now",IF(K2&gt;=70,"Test",IF(K2&gt;=60,"Partner-led","Do Not Scale")))</x:f>
        <x:v>Hunt Now</x:v>
      </x:c>
      <x:c r="M2" s="49" t="str">
        <x:v>AI Transparency Readiness Sprint</x:v>
      </x:c>
      <x:c r="N2" s="49" t="str">
        <x:v>Deadline-led named accounts</x:v>
      </x:c>
    </x:row>
    <x:row r="3" ht="58" customHeight="1">
      <x:c r="A3" s="2" t="n">
        <x:f>COUNTIF($K$2:$K$12,"&gt;"&amp;K3)+1</x:f>
        <x:v>1</x:v>
      </x:c>
      <x:c r="B3" s="49" t="str">
        <x:v>UK HubSpot and RevOps professional services</x:v>
      </x:c>
      <x:c r="C3" s="49" t="str">
        <x:v>20 to 200 employee advisory, education, healthcare, and high-consideration services</x:v>
      </x:c>
      <x:c r="D3" s="49" t="str">
        <x:v>Live expert contract demand at $25 to $65 per hour plus ongoing work</x:v>
      </x:c>
      <x:c r="E3" s="50" t="n">
        <x:v>5</x:v>
      </x:c>
      <x:c r="F3" s="50" t="n">
        <x:v>4</x:v>
      </x:c>
      <x:c r="G3" s="50" t="n">
        <x:v>4</x:v>
      </x:c>
      <x:c r="H3" s="50" t="n">
        <x:v>4</x:v>
      </x:c>
      <x:c r="I3" s="50" t="n">
        <x:v>4</x:v>
      </x:c>
      <x:c r="J3" s="50" t="n">
        <x:v>4</x:v>
      </x:c>
      <x:c r="K3" s="50" t="n">
        <x:f>(E3*'Settings'!$B$2+F3*'Settings'!$B$3+G3*'Settings'!$B$4+H3*'Settings'!$B$5+I3*'Settings'!$B$6+J3*'Settings'!$B$7)/5*100</x:f>
        <x:v>85</x:v>
      </x:c>
      <x:c r="L3" s="49" t="str">
        <x:f>IF(K3&gt;=80,"Hunt Now",IF(K3&gt;=70,"Test",IF(K3&gt;=60,"Partner-led","Do Not Scale")))</x:f>
        <x:v>Hunt Now</x:v>
      </x:c>
      <x:c r="M3" s="49" t="str">
        <x:v>Revenue System Architecture Sprint</x:v>
      </x:c>
      <x:c r="N3" s="49" t="str">
        <x:v>Shadow RFP and job-post interception</x:v>
      </x:c>
    </x:row>
    <x:row r="4" ht="58" customHeight="1">
      <x:c r="A4" s="2" t="n">
        <x:f>COUNTIF($K$2:$K$12,"&gt;"&amp;K4)+1</x:f>
        <x:v>3</x:v>
      </x:c>
      <x:c r="B4" s="49" t="str">
        <x:v>UAE multi-location service operators</x:v>
      </x:c>
      <x:c r="C4" s="49" t="str">
        <x:v>Healthcare, real estate, recruitment, education, and professional services using WhatsApp</x:v>
      </x:c>
      <x:c r="D4" s="49" t="str">
        <x:v>Visible demand for HubSpot, WhatsApp, lead routing, and done-for-you execution</x:v>
      </x:c>
      <x:c r="E4" s="50" t="n">
        <x:v>4</x:v>
      </x:c>
      <x:c r="F4" s="50" t="n">
        <x:v>4</x:v>
      </x:c>
      <x:c r="G4" s="50" t="n">
        <x:v>5</x:v>
      </x:c>
      <x:c r="H4" s="50" t="n">
        <x:v>4</x:v>
      </x:c>
      <x:c r="I4" s="50" t="n">
        <x:v>4</x:v>
      </x:c>
      <x:c r="J4" s="50" t="n">
        <x:v>4</x:v>
      </x:c>
      <x:c r="K4" s="50" t="n">
        <x:f>(E4*'Settings'!$B$2+F4*'Settings'!$B$3+G4*'Settings'!$B$4+H4*'Settings'!$B$5+I4*'Settings'!$B$6+J4*'Settings'!$B$7)/5*100</x:f>
        <x:v>83</x:v>
      </x:c>
      <x:c r="L4" s="49" t="str">
        <x:f>IF(K4&gt;=80,"Hunt Now",IF(K4&gt;=70,"Test",IF(K4&gt;=60,"Partner-led","Do Not Scale")))</x:f>
        <x:v>Hunt Now</x:v>
      </x:c>
      <x:c r="M4" s="49" t="str">
        <x:v>WhatsApp-to-Revenue Operating System</x:v>
      </x:c>
      <x:c r="N4" s="49" t="str">
        <x:v>Founder LinkedIn plus partner referrals</x:v>
      </x:c>
    </x:row>
    <x:row r="5" ht="58" customHeight="1">
      <x:c r="A5" s="2" t="n">
        <x:f>COUNTIF($K$2:$K$12,"&gt;"&amp;K5)+1</x:f>
        <x:v>4</x:v>
      </x:c>
      <x:c r="B5" s="49" t="str">
        <x:v>Netherlands and Belgium international B2B SMEs</x:v>
      </x:c>
      <x:c r="C5" s="49" t="str">
        <x:v>Digitally mature export, logistics, professional, and technical firms</x:v>
      </x:c>
      <x:c r="D5" s="49" t="str">
        <x:v>High digital skills and high EU AI adoption environment</x:v>
      </x:c>
      <x:c r="E5" s="50" t="n">
        <x:v>4</x:v>
      </x:c>
      <x:c r="F5" s="50" t="n">
        <x:v>5</x:v>
      </x:c>
      <x:c r="G5" s="50" t="n">
        <x:v>3</x:v>
      </x:c>
      <x:c r="H5" s="50" t="n">
        <x:v>5</x:v>
      </x:c>
      <x:c r="I5" s="50" t="n">
        <x:v>3</x:v>
      </x:c>
      <x:c r="J5" s="50" t="n">
        <x:v>3</x:v>
      </x:c>
      <x:c r="K5" s="50" t="n">
        <x:f>(E5*'Settings'!$B$2+F5*'Settings'!$B$3+G5*'Settings'!$B$4+H5*'Settings'!$B$5+I5*'Settings'!$B$6+J5*'Settings'!$B$7)/5*100</x:f>
        <x:v>79</x:v>
      </x:c>
      <x:c r="L5" s="49" t="str">
        <x:f>IF(K5&gt;=80,"Hunt Now",IF(K5&gt;=70,"Test",IF(K5&gt;=60,"Partner-led","Do Not Scale")))</x:f>
        <x:v>Test</x:v>
      </x:c>
      <x:c r="M5" s="49" t="str">
        <x:v>AI Governance and Workflow Evidence Sprint</x:v>
      </x:c>
      <x:c r="N5" s="49" t="str">
        <x:v>Partner-led plus cross-border founder networks</x:v>
      </x:c>
    </x:row>
    <x:row r="6" ht="58" customHeight="1">
      <x:c r="A6" s="2" t="n">
        <x:f>COUNTIF($K$2:$K$12,"&gt;"&amp;K6)+1</x:f>
        <x:v>4</x:v>
      </x:c>
      <x:c r="B6" s="49" t="str">
        <x:v>Global shadow-RFP feed</x:v>
      </x:c>
      <x:c r="C6" s="49" t="str">
        <x:v>Companies publicly hiring CRM, RevOps, lifecycle, and automation specialists</x:v>
      </x:c>
      <x:c r="D6" s="49" t="str">
        <x:v>3,187 sampled CRM jobs plus current expert engagements</x:v>
      </x:c>
      <x:c r="E6" s="50" t="n">
        <x:v>5</x:v>
      </x:c>
      <x:c r="F6" s="50" t="n">
        <x:v>2</x:v>
      </x:c>
      <x:c r="G6" s="50" t="n">
        <x:v>5</x:v>
      </x:c>
      <x:c r="H6" s="50" t="n">
        <x:v>4</x:v>
      </x:c>
      <x:c r="I6" s="50" t="n">
        <x:v>3</x:v>
      </x:c>
      <x:c r="J6" s="50" t="n">
        <x:v>5</x:v>
      </x:c>
      <x:c r="K6" s="50" t="n">
        <x:f>(E6*'Settings'!$B$2+F6*'Settings'!$B$3+G6*'Settings'!$B$4+H6*'Settings'!$B$5+I6*'Settings'!$B$6+J6*'Settings'!$B$7)/5*100</x:f>
        <x:v>79</x:v>
      </x:c>
      <x:c r="L6" s="49" t="str">
        <x:f>IF(K6&gt;=80,"Hunt Now",IF(K6&gt;=70,"Test",IF(K6&gt;=60,"Partner-led","Do Not Scale")))</x:f>
        <x:v>Test</x:v>
      </x:c>
      <x:c r="M6" s="49" t="str">
        <x:v>Pre-Hire Systems Sprint</x:v>
      </x:c>
      <x:c r="N6" s="49" t="str">
        <x:v>Job boards, contract listings, and hiring alerts</x:v>
      </x:c>
    </x:row>
    <x:row r="7" ht="58" customHeight="1">
      <x:c r="A7" s="2" t="n">
        <x:f>COUNTIF($K$2:$K$12,"&gt;"&amp;K7)+1</x:f>
        <x:v>6</x:v>
      </x:c>
      <x:c r="B7" s="49" t="str">
        <x:v>African diaspora firms in UK, EU, and UAE</x:v>
      </x:c>
      <x:c r="C7" s="49" t="str">
        <x:v>Founder-led cross-border advisory, property, healthcare, finance, and trade firms</x:v>
      </x:c>
      <x:c r="D7" s="49" t="str">
        <x:v>Higher-market budgets combined with BridgeWorks cultural and market context</x:v>
      </x:c>
      <x:c r="E7" s="50" t="n">
        <x:v>3</x:v>
      </x:c>
      <x:c r="F7" s="50" t="n">
        <x:v>4</x:v>
      </x:c>
      <x:c r="G7" s="50" t="n">
        <x:v>4</x:v>
      </x:c>
      <x:c r="H7" s="50" t="n">
        <x:v>3</x:v>
      </x:c>
      <x:c r="I7" s="50" t="n">
        <x:v>5</x:v>
      </x:c>
      <x:c r="J7" s="50" t="n">
        <x:v>4</x:v>
      </x:c>
      <x:c r="K7" s="50" t="n">
        <x:f>(E7*'Settings'!$B$2+F7*'Settings'!$B$3+G7*'Settings'!$B$4+H7*'Settings'!$B$5+I7*'Settings'!$B$6+J7*'Settings'!$B$7)/5*100</x:f>
        <x:v>74.99999999999999</x:v>
      </x:c>
      <x:c r="L7" s="49" t="str">
        <x:f>IF(K7&gt;=80,"Hunt Now",IF(K7&gt;=70,"Test",IF(K7&gt;=60,"Partner-led","Do Not Scale")))</x:f>
        <x:v>Test</x:v>
      </x:c>
      <x:c r="M7" s="49" t="str">
        <x:v>Cross-Market Credibility and Execution Review</x:v>
      </x:c>
      <x:c r="N7" s="49" t="str">
        <x:v>Founder networks, associations, and referrals</x:v>
      </x:c>
    </x:row>
    <x:row r="8" ht="58" customHeight="1">
      <x:c r="A8" s="2" t="n">
        <x:f>COUNTIF($K$2:$K$12,"&gt;"&amp;K8)+1</x:f>
        <x:v>7</x:v>
      </x:c>
      <x:c r="B8" s="49" t="str">
        <x:v>Ireland grant-backed SMEs under 50 staff</x:v>
      </x:c>
      <x:c r="C8" s="49" t="str">
        <x:v>LEO-qualified businesses with a defined digital adoption project</x:v>
      </x:c>
      <x:c r="D8" s="49" t="str">
        <x:v>Grow Digital Voucher and active digital readiness support</x:v>
      </x:c>
      <x:c r="E8" s="50" t="n">
        <x:v>4</x:v>
      </x:c>
      <x:c r="F8" s="50" t="n">
        <x:v>3</x:v>
      </x:c>
      <x:c r="G8" s="50" t="n">
        <x:v>4</x:v>
      </x:c>
      <x:c r="H8" s="50" t="n">
        <x:v>4</x:v>
      </x:c>
      <x:c r="I8" s="50" t="n">
        <x:v>3</x:v>
      </x:c>
      <x:c r="J8" s="50" t="n">
        <x:v>4</x:v>
      </x:c>
      <x:c r="K8" s="50" t="n">
        <x:f>(E8*'Settings'!$B$2+F8*'Settings'!$B$3+G8*'Settings'!$B$4+H8*'Settings'!$B$5+I8*'Settings'!$B$6+J8*'Settings'!$B$7)/5*100</x:f>
        <x:v>73</x:v>
      </x:c>
      <x:c r="L8" s="49" t="str">
        <x:f>IF(K8&gt;=80,"Hunt Now",IF(K8&gt;=70,"Test",IF(K8&gt;=60,"Partner-led","Do Not Scale")))</x:f>
        <x:v>Test</x:v>
      </x:c>
      <x:c r="M8" s="49" t="str">
        <x:v>Grant-Ready Digital Implementation Plan</x:v>
      </x:c>
      <x:c r="N8" s="49" t="str">
        <x:v>LEO advisers, accountants, and approved partners</x:v>
      </x:c>
    </x:row>
    <x:row r="9" ht="58" customHeight="1">
      <x:c r="A9" s="2" t="n">
        <x:f>COUNTIF($K$2:$K$12,"&gt;"&amp;K9)+1</x:f>
        <x:v>8</x:v>
      </x:c>
      <x:c r="B9" s="49" t="str">
        <x:v>DACH operational mid-market</x:v>
      </x:c>
      <x:c r="C9" s="49" t="str">
        <x:v>Mittelstand firms with legacy systems, process ownership gaps, and international operations</x:v>
      </x:c>
      <x:c r="D9" s="49" t="str">
        <x:v>Strong budgets, but lower stated need and high trust threshold</x:v>
      </x:c>
      <x:c r="E9" s="50" t="n">
        <x:v>4</x:v>
      </x:c>
      <x:c r="F9" s="50" t="n">
        <x:v>5</x:v>
      </x:c>
      <x:c r="G9" s="50" t="n">
        <x:v>3</x:v>
      </x:c>
      <x:c r="H9" s="50" t="n">
        <x:v>4</x:v>
      </x:c>
      <x:c r="I9" s="50" t="n">
        <x:v>2</x:v>
      </x:c>
      <x:c r="J9" s="50" t="n">
        <x:v>2</x:v>
      </x:c>
      <x:c r="K9" s="50" t="n">
        <x:f>(E9*'Settings'!$B$2+F9*'Settings'!$B$3+G9*'Settings'!$B$4+H9*'Settings'!$B$5+I9*'Settings'!$B$6+J9*'Settings'!$B$7)/5*100</x:f>
        <x:v>71.00000000000001</x:v>
      </x:c>
      <x:c r="L9" s="49" t="str">
        <x:f>IF(K9&gt;=80,"Hunt Now",IF(K9&gt;=70,"Test",IF(K9&gt;=60,"Partner-led","Do Not Scale")))</x:f>
        <x:v>Test</x:v>
      </x:c>
      <x:c r="M9" s="49" t="str">
        <x:v>Process-to-System Diagnostic</x:v>
      </x:c>
      <x:c r="N9" s="49" t="str">
        <x:v>Local implementation partners</x:v>
      </x:c>
    </x:row>
    <x:row r="10" ht="58" customHeight="1">
      <x:c r="A10" s="2" t="n">
        <x:f>COUNTIF($K$2:$K$12,"&gt;"&amp;K10)+1</x:f>
        <x:v>9</x:v>
      </x:c>
      <x:c r="B10" s="49" t="str">
        <x:v>Ghana and Nigeria funded SME programmes</x:v>
      </x:c>
      <x:c r="C10" s="49" t="str">
        <x:v>Agencies, chambers, donor programmes, and cohort operators</x:v>
      </x:c>
      <x:c r="D10" s="49" t="str">
        <x:v>Government and development-backed digitalisation programmes</x:v>
      </x:c>
      <x:c r="E10" s="50" t="n">
        <x:v>3</x:v>
      </x:c>
      <x:c r="F10" s="50" t="n">
        <x:v>2</x:v>
      </x:c>
      <x:c r="G10" s="50" t="n">
        <x:v>4</x:v>
      </x:c>
      <x:c r="H10" s="50" t="n">
        <x:v>3</x:v>
      </x:c>
      <x:c r="I10" s="50" t="n">
        <x:v>5</x:v>
      </x:c>
      <x:c r="J10" s="50" t="n">
        <x:v>3</x:v>
      </x:c>
      <x:c r="K10" s="50" t="n">
        <x:f>(E10*'Settings'!$B$2+F10*'Settings'!$B$3+G10*'Settings'!$B$4+H10*'Settings'!$B$5+I10*'Settings'!$B$6+J10*'Settings'!$B$7)/5*100</x:f>
        <x:v>65</x:v>
      </x:c>
      <x:c r="L10" s="49" t="str">
        <x:f>IF(K10&gt;=80,"Hunt Now",IF(K10&gt;=70,"Test",IF(K10&gt;=60,"Partner-led","Do Not Scale")))</x:f>
        <x:v>Partner-led</x:v>
      </x:c>
      <x:c r="M10" s="49" t="str">
        <x:v>Cohort Diagnostic and Implementation Lab</x:v>
      </x:c>
      <x:c r="N10" s="49" t="str">
        <x:v>Institutional and delivery partnerships</x:v>
      </x:c>
    </x:row>
    <x:row r="11" ht="58" customHeight="1">
      <x:c r="A11" s="2" t="n">
        <x:f>COUNTIF($K$2:$K$12,"&gt;"&amp;K11)+1</x:f>
        <x:v>10</x:v>
      </x:c>
      <x:c r="B11" s="49" t="str">
        <x:v>Hungary export and foreign-owned firms only</x:v>
      </x:c>
      <x:c r="C11" s="49" t="str">
        <x:v>Internationally oriented SMEs and local operations of foreign groups</x:v>
      </x:c>
      <x:c r="D11" s="49" t="str">
        <x:v>Selective budget pockets, but weak generic local adoption economics</x:v>
      </x:c>
      <x:c r="E11" s="50" t="n">
        <x:v>2</x:v>
      </x:c>
      <x:c r="F11" s="50" t="n">
        <x:v>3</x:v>
      </x:c>
      <x:c r="G11" s="50" t="n">
        <x:v>2</x:v>
      </x:c>
      <x:c r="H11" s="50" t="n">
        <x:v>3</x:v>
      </x:c>
      <x:c r="I11" s="50" t="n">
        <x:v>4</x:v>
      </x:c>
      <x:c r="J11" s="50" t="n">
        <x:v>5</x:v>
      </x:c>
      <x:c r="K11" s="50" t="n">
        <x:f>(E11*'Settings'!$B$2+F11*'Settings'!$B$3+G11*'Settings'!$B$4+H11*'Settings'!$B$5+I11*'Settings'!$B$6+J11*'Settings'!$B$7)/5*100</x:f>
        <x:v>59.00000000000001</x:v>
      </x:c>
      <x:c r="L11" s="49" t="str">
        <x:f>IF(K11&gt;=80,"Hunt Now",IF(K11&gt;=70,"Test",IF(K11&gt;=60,"Partner-led","Do Not Scale")))</x:f>
        <x:v>Do Not Scale</x:v>
      </x:c>
      <x:c r="M11" s="49" t="str">
        <x:v>Export Credibility and Workflow Review</x:v>
      </x:c>
      <x:c r="N11" s="49" t="str">
        <x:v>Warm network and international triggers</x:v>
      </x:c>
    </x:row>
    <x:row r="12" ht="58" customHeight="1">
      <x:c r="A12" s="2" t="n">
        <x:f>COUNTIF($K$2:$K$12,"&gt;"&amp;K12)+1</x:f>
        <x:v>11</x:v>
      </x:c>
      <x:c r="B12" s="49" t="str">
        <x:v>Generic local microbusinesses</x:v>
      </x:c>
      <x:c r="C12" s="49" t="str">
        <x:v>Small owner-operated firms without a trigger, system, or budget signal</x:v>
      </x:c>
      <x:c r="D12" s="49" t="str">
        <x:v>Pain may be visible, but payment intent is usually unproven</x:v>
      </x:c>
      <x:c r="E12" s="50" t="n">
        <x:v>1</x:v>
      </x:c>
      <x:c r="F12" s="50" t="n">
        <x:v>1</x:v>
      </x:c>
      <x:c r="G12" s="50" t="n">
        <x:v>4</x:v>
      </x:c>
      <x:c r="H12" s="50" t="n">
        <x:v>1</x:v>
      </x:c>
      <x:c r="I12" s="50" t="n">
        <x:v>2</x:v>
      </x:c>
      <x:c r="J12" s="50" t="n">
        <x:v>3</x:v>
      </x:c>
      <x:c r="K12" s="50" t="n">
        <x:f>(E12*'Settings'!$B$2+F12*'Settings'!$B$3+G12*'Settings'!$B$4+H12*'Settings'!$B$5+I12*'Settings'!$B$6+J12*'Settings'!$B$7)/5*100</x:f>
        <x:v>36</x:v>
      </x:c>
      <x:c r="L12" s="49" t="str">
        <x:f>IF(K12&gt;=80,"Hunt Now",IF(K12&gt;=70,"Test",IF(K12&gt;=60,"Partner-led","Do Not Scale")))</x:f>
        <x:v>Do Not Scale</x:v>
      </x:c>
      <x:c r="M12" s="49" t="str">
        <x:v>None until a budget trigger appears</x:v>
      </x:c>
      <x:c r="N12" s="49" t="str">
        <x:v>Monitor only</x:v>
      </x:c>
    </x:row>
  </x:sheetData>
  <x:conditionalFormatting sqref="K2:K12">
    <x:cfRule type="colorScale" priority="1">
      <x:colorScale>
        <x:cfvo type="min"/>
        <x:cfvo type="percentile" val="50"/>
        <x:cfvo type="max"/>
        <x:color rgb="FFD98274"/>
        <x:color rgb="FFF3E5B7"/>
        <x:color rgb="FF7AA17A"/>
      </x:colorScale>
    </x:cfRule>
  </x:conditionalFormatting>
  <x:conditionalFormatting sqref="L2:L12">
    <x:cfRule type="containsText" dxfId="0" priority="2" operator="containsText" text="Hunt Now"/>
    <x:cfRule type="containsText" dxfId="1" priority="3" operator="containsText" text="Do Not Scale"/>
  </x:conditionalFormatting>
  <x:pageMargins left="0.7" right="0.7" top="0.75" bottom="0.75" header="0.3" footer="0.3"/>
  <x:tableParts count="1">
    <x:tablePart xmlns:r="http://schemas.openxmlformats.org/officeDocument/2006/relationships" r:id="R93d51a96e8f54a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2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</x:cols>
  <x:sheetData>
    <x:row r="1">
      <x:c r="A1" s="6" t="str">
        <x:v>Signal ID</x:v>
      </x:c>
      <x:c r="B1" s="6" t="str">
        <x:v>Observed</x:v>
      </x:c>
      <x:c r="C1" s="6" t="str">
        <x:v>Market</x:v>
      </x:c>
      <x:c r="D1" s="6" t="str">
        <x:v>Buyer</x:v>
      </x:c>
      <x:c r="E1" s="6" t="str">
        <x:v>Signal</x:v>
      </x:c>
      <x:c r="F1" s="6" t="str">
        <x:v>Evidence type</x:v>
      </x:c>
      <x:c r="G1" s="6" t="str">
        <x:v>Budget proof</x:v>
      </x:c>
      <x:c r="H1" s="6" t="str">
        <x:v>Service line</x:v>
      </x:c>
      <x:c r="I1" s="6" t="str">
        <x:v>Freshness</x:v>
      </x:c>
      <x:c r="J1" s="6" t="str">
        <x:v>Confidence</x:v>
      </x:c>
      <x:c r="K1" s="6" t="str">
        <x:v>Status</x:v>
      </x:c>
      <x:c r="L1" s="6" t="str">
        <x:v>Source URL</x:v>
      </x:c>
      <x:c r="M1" s="6" t="str">
        <x:v>Next action</x:v>
      </x:c>
    </x:row>
    <x:row r="2" ht="54" customHeight="1">
      <x:c r="A2" s="49" t="str">
        <x:v>MS-001</x:v>
      </x:c>
      <x:c r="B2" s="49" t="str">
        <x:v>2026-08-01</x:v>
      </x:c>
      <x:c r="C2" s="49" t="str">
        <x:v>EU</x:v>
      </x:c>
      <x:c r="D2" s="49" t="str">
        <x:v>AI providers and deployers</x:v>
      </x:c>
      <x:c r="E2" s="49" t="str">
        <x:v>AI Act transparency obligations start 2 Aug 2026</x:v>
      </x:c>
      <x:c r="F2" s="49" t="str">
        <x:v>Regulatory deadline</x:v>
      </x:c>
      <x:c r="G2" s="49" t="str">
        <x:v>High</x:v>
      </x:c>
      <x:c r="H2" s="49" t="str">
        <x:v>AI and workflow automation</x:v>
      </x:c>
      <x:c r="I2" s="49" t="str">
        <x:v>Live/Current</x:v>
      </x:c>
      <x:c r="J2" s="49" t="str">
        <x:v>High</x:v>
      </x:c>
      <x:c r="K2" s="49" t="str">
        <x:v>Pursue</x:v>
      </x:c>
      <x:c r="L2" s="49" t="str">
        <x:v>https://digital-strategy.ec.europa.eu/en/news/commission-publishes-guidelines-transparency-obligations-providers-and-deployers-certain-ai-systems</x:v>
      </x:c>
      <x:c r="M2" s="49" t="str">
        <x:v>Build a non-legal implementation readiness offer and target public AI interactions.</x:v>
      </x:c>
    </x:row>
    <x:row r="3" ht="54" customHeight="1">
      <x:c r="A3" s="49" t="str">
        <x:v>MS-002</x:v>
      </x:c>
      <x:c r="B3" s="49" t="str">
        <x:v>2026-08-01</x:v>
      </x:c>
      <x:c r="C3" s="49" t="str">
        <x:v>United Kingdom</x:v>
      </x:c>
      <x:c r="D3" s="49" t="str">
        <x:v>High-consideration service firms</x:v>
      </x:c>
      <x:c r="E3" s="49" t="str">
        <x:v>Expert HubSpot lifecycle and RevOps engagement at $25 to $65 per hour</x:v>
      </x:c>
      <x:c r="F3" s="49" t="str">
        <x:v>Paid contract</x:v>
      </x:c>
      <x:c r="G3" s="49" t="str">
        <x:v>High</x:v>
      </x:c>
      <x:c r="H3" s="49" t="str">
        <x:v>AI and workflow automation</x:v>
      </x:c>
      <x:c r="I3" s="49" t="str">
        <x:v>Live/Current</x:v>
      </x:c>
      <x:c r="J3" s="49" t="str">
        <x:v>High</x:v>
      </x:c>
      <x:c r="K3" s="49" t="str">
        <x:v>Pursue</x:v>
      </x:c>
      <x:c r="L3" s="49" t="str">
        <x:v>https://www.upwork.com/freelance-jobs/apply/HubSpot-CRM-Marketing-Automation-Specialist_~022008479471455425352/</x:v>
      </x:c>
      <x:c r="M3" s="49" t="str">
        <x:v>Find the hiring company and offer a fixed architecture sprint without pretending to apply for a role.</x:v>
      </x:c>
    </x:row>
    <x:row r="4" ht="54" customHeight="1">
      <x:c r="A4" s="49" t="str">
        <x:v>MS-003</x:v>
      </x:c>
      <x:c r="B4" s="49" t="str">
        <x:v>2026-08-01</x:v>
      </x:c>
      <x:c r="C4" s="49" t="str">
        <x:v>Global</x:v>
      </x:c>
      <x:c r="D4" s="49" t="str">
        <x:v>CRM buyers</x:v>
      </x:c>
      <x:c r="E4" s="49" t="str">
        <x:v>Upwork shows a sample of 3,187 CRM jobs</x:v>
      </x:c>
      <x:c r="F4" s="49" t="str">
        <x:v>Marketplace volume</x:v>
      </x:c>
      <x:c r="G4" s="49" t="str">
        <x:v>Medium</x:v>
      </x:c>
      <x:c r="H4" s="49" t="str">
        <x:v>Execution and operating systems</x:v>
      </x:c>
      <x:c r="I4" s="49" t="str">
        <x:v>Current sample</x:v>
      </x:c>
      <x:c r="J4" s="49" t="str">
        <x:v>Medium</x:v>
      </x:c>
      <x:c r="K4" s="49" t="str">
        <x:v>Watch</x:v>
      </x:c>
      <x:c r="L4" s="49" t="str">
        <x:v>https://www.upwork.com/freelance-jobs/crm/</x:v>
      </x:c>
      <x:c r="M4" s="49" t="str">
        <x:v>Track demand language, buyers, stacks, and verticals weekly.</x:v>
      </x:c>
    </x:row>
    <x:row r="5" ht="54" customHeight="1">
      <x:c r="A5" s="49" t="str">
        <x:v>MS-004</x:v>
      </x:c>
      <x:c r="B5" s="49" t="str">
        <x:v>2026-08-01</x:v>
      </x:c>
      <x:c r="C5" s="49" t="str">
        <x:v>Global consulting</x:v>
      </x:c>
      <x:c r="D5" s="49" t="str">
        <x:v>International consulting and digital services</x:v>
      </x:c>
      <x:c r="E5" s="49" t="str">
        <x:v>HubSpot plus WhatsApp Business integration and lead-routing requirement</x:v>
      </x:c>
      <x:c r="F5" s="49" t="str">
        <x:v>Paid contract</x:v>
      </x:c>
      <x:c r="G5" s="49" t="str">
        <x:v>High</x:v>
      </x:c>
      <x:c r="H5" s="49" t="str">
        <x:v>AI and workflow automation</x:v>
      </x:c>
      <x:c r="I5" s="49" t="str">
        <x:v>Recent</x:v>
      </x:c>
      <x:c r="J5" s="49" t="str">
        <x:v>High</x:v>
      </x:c>
      <x:c r="K5" s="49" t="str">
        <x:v>Pursue</x:v>
      </x:c>
      <x:c r="L5" s="49" t="str">
        <x:v>https://www.upwork.com/freelance-jobs/apply/HubSpot-CRM-WhatsApp-Business-Integration-Automation-Setup_~021981945072412147298/</x:v>
      </x:c>
      <x:c r="M5" s="49" t="str">
        <x:v>Productise WhatsApp-to-HubSpot implementation for service firms.</x:v>
      </x:c>
    </x:row>
    <x:row r="6" ht="54" customHeight="1">
      <x:c r="A6" s="49" t="str">
        <x:v>MS-005</x:v>
      </x:c>
      <x:c r="B6" s="49" t="str">
        <x:v>2026-08-01</x:v>
      </x:c>
      <x:c r="C6" s="49" t="str">
        <x:v>UAE</x:v>
      </x:c>
      <x:c r="D6" s="49" t="str">
        <x:v>SMEs</x:v>
      </x:c>
      <x:c r="E6" s="49" t="str">
        <x:v>Government agenda explicitly includes digital transformation, funding, and increasing demand</x:v>
      </x:c>
      <x:c r="F6" s="49" t="str">
        <x:v>Policy-backed market</x:v>
      </x:c>
      <x:c r="G6" s="49" t="str">
        <x:v>Medium</x:v>
      </x:c>
      <x:c r="H6" s="49" t="str">
        <x:v>Strategy and transformation</x:v>
      </x:c>
      <x:c r="I6" s="49" t="str">
        <x:v>Current policy</x:v>
      </x:c>
      <x:c r="J6" s="49" t="str">
        <x:v>High</x:v>
      </x:c>
      <x:c r="K6" s="49" t="str">
        <x:v>Validate</x:v>
      </x:c>
      <x:c r="L6" s="49" t="str">
        <x:v>https://u.ae/en/about-the-uae/strategies-initiatives-and-awards/strategies-plans-and-visions/finance-and-economy/the-national-agenda-for-entrepreneurship-and-smes</x:v>
      </x:c>
      <x:c r="M6" s="49" t="str">
        <x:v>Focus on SMEs with proof of revenue, staff, and implementation readiness.</x:v>
      </x:c>
    </x:row>
    <x:row r="7" ht="54" customHeight="1">
      <x:c r="A7" s="49" t="str">
        <x:v>MS-006</x:v>
      </x:c>
      <x:c r="B7" s="49" t="str">
        <x:v>2026-08-01</x:v>
      </x:c>
      <x:c r="C7" s="49" t="str">
        <x:v>UAE</x:v>
      </x:c>
      <x:c r="D7" s="49" t="str">
        <x:v>Government-adjacent digital operators</x:v>
      </x:c>
      <x:c r="E7" s="49" t="str">
        <x:v>AED 13 billion Abu Dhabi digital infrastructure strategy for 2025 to 2027</x:v>
      </x:c>
      <x:c r="F7" s="49" t="str">
        <x:v>Public investment</x:v>
      </x:c>
      <x:c r="G7" s="49" t="str">
        <x:v>High</x:v>
      </x:c>
      <x:c r="H7" s="49" t="str">
        <x:v>Strategy and transformation</x:v>
      </x:c>
      <x:c r="I7" s="49" t="str">
        <x:v>Live programme</x:v>
      </x:c>
      <x:c r="J7" s="49" t="str">
        <x:v>High</x:v>
      </x:c>
      <x:c r="K7" s="49" t="str">
        <x:v>Partner</x:v>
      </x:c>
      <x:c r="L7" s="49" t="str">
        <x:v>https://u.ae/en/information-and-services/business/public-private-people-partnership/pppp/AI-enabled-digital-transformation-via-PPPP</x:v>
      </x:c>
      <x:c r="M7" s="49" t="str">
        <x:v>Enter through specialist subcontracting and delivery partnerships, not cold SME audits.</x:v>
      </x:c>
    </x:row>
    <x:row r="8" ht="54" customHeight="1">
      <x:c r="A8" s="49" t="str">
        <x:v>MS-007</x:v>
      </x:c>
      <x:c r="B8" s="49" t="str">
        <x:v>2026-08-01</x:v>
      </x:c>
      <x:c r="C8" s="49" t="str">
        <x:v>Ireland</x:v>
      </x:c>
      <x:c r="D8" s="49" t="str">
        <x:v>SMEs with up to 50 employees</x:v>
      </x:c>
      <x:c r="E8" s="49" t="str">
        <x:v>Grow Digital Voucher supports digital technology adoption</x:v>
      </x:c>
      <x:c r="F8" s="49" t="str">
        <x:v>Subsidy-backed</x:v>
      </x:c>
      <x:c r="G8" s="49" t="str">
        <x:v>Medium</x:v>
      </x:c>
      <x:c r="H8" s="49" t="str">
        <x:v>Digital platforms and brand systems</x:v>
      </x:c>
      <x:c r="I8" s="49" t="str">
        <x:v>Live/Current</x:v>
      </x:c>
      <x:c r="J8" s="49" t="str">
        <x:v>High</x:v>
      </x:c>
      <x:c r="K8" s="49" t="str">
        <x:v>Partner</x:v>
      </x:c>
      <x:c r="L8" s="49" t="str">
        <x:v>https://www.localenterprise.ie/DublinCity/DublinCity/</x:v>
      </x:c>
      <x:c r="M8" s="49" t="str">
        <x:v>Map adviser and provider routes. Never imply BridgeWorks eligibility before verification.</x:v>
      </x:c>
    </x:row>
    <x:row r="9" ht="54" customHeight="1">
      <x:c r="A9" s="49" t="str">
        <x:v>MS-008</x:v>
      </x:c>
      <x:c r="B9" s="49" t="str">
        <x:v>2026-08-01</x:v>
      </x:c>
      <x:c r="C9" s="49" t="str">
        <x:v>United Kingdom</x:v>
      </x:c>
      <x:c r="D9" s="49" t="str">
        <x:v>SMEs</x:v>
      </x:c>
      <x:c r="E9" s="49" t="str">
        <x:v>Government research identifies cost, know-how, execution, and switching barriers</x:v>
      </x:c>
      <x:c r="F9" s="49" t="str">
        <x:v>Policy and research</x:v>
      </x:c>
      <x:c r="G9" s="49" t="str">
        <x:v>Medium</x:v>
      </x:c>
      <x:c r="H9" s="49" t="str">
        <x:v>Execution and operating systems</x:v>
      </x:c>
      <x:c r="I9" s="49" t="str">
        <x:v>Current research</x:v>
      </x:c>
      <x:c r="J9" s="49" t="str">
        <x:v>High</x:v>
      </x:c>
      <x:c r="K9" s="49" t="str">
        <x:v>Test</x:v>
      </x:c>
      <x:c r="L9" s="49" t="str">
        <x:v>https://www.gov.uk/government/publications/sme-digital-adoption-taskforce-final-report/sme-digital-adoption-taskforce-final-report</x:v>
      </x:c>
      <x:c r="M9" s="49" t="str">
        <x:v>Sell personalised implementation support and low-risk switching, not technology education.</x:v>
      </x:c>
    </x:row>
    <x:row r="10" ht="54" customHeight="1">
      <x:c r="A10" s="49" t="str">
        <x:v>MS-009</x:v>
      </x:c>
      <x:c r="B10" s="49" t="str">
        <x:v>2026-08-01</x:v>
      </x:c>
      <x:c r="C10" s="49" t="str">
        <x:v>EU</x:v>
      </x:c>
      <x:c r="D10" s="49" t="str">
        <x:v>Enterprises with 10 or more staff</x:v>
      </x:c>
      <x:c r="E10" s="49" t="str">
        <x:v>20 percent used AI in 2025, up 6.5 percentage points</x:v>
      </x:c>
      <x:c r="F10" s="49" t="str">
        <x:v>Adoption growth</x:v>
      </x:c>
      <x:c r="G10" s="49" t="str">
        <x:v>Medium</x:v>
      </x:c>
      <x:c r="H10" s="49" t="str">
        <x:v>AI and workflow automation</x:v>
      </x:c>
      <x:c r="I10" s="49" t="str">
        <x:v>2025 data</x:v>
      </x:c>
      <x:c r="J10" s="49" t="str">
        <x:v>High</x:v>
      </x:c>
      <x:c r="K10" s="49" t="str">
        <x:v>Pursue</x:v>
      </x:c>
      <x:c r="L10" s="49" t="str">
        <x:v>https://ec.europa.eu/eurostat/web/products-eurostat-news/w/ddn-20251211-2</x:v>
      </x:c>
      <x:c r="M10" s="49" t="str">
        <x:v>Prioritise high-adoption countries and regulated customer-facing use cases.</x:v>
      </x:c>
    </x:row>
    <x:row r="11" ht="54" customHeight="1">
      <x:c r="A11" s="49" t="str">
        <x:v>MS-010</x:v>
      </x:c>
      <x:c r="B11" s="49" t="str">
        <x:v>2026-08-01</x:v>
      </x:c>
      <x:c r="C11" s="49" t="str">
        <x:v>Netherlands and Ireland</x:v>
      </x:c>
      <x:c r="D11" s="49" t="str">
        <x:v>Digitally capable businesses</x:v>
      </x:c>
      <x:c r="E11" s="49" t="str">
        <x:v>Basic or above digital skills reached 84 percent and 83 percent respectively</x:v>
      </x:c>
      <x:c r="F11" s="49" t="str">
        <x:v>Capability proxy</x:v>
      </x:c>
      <x:c r="G11" s="49" t="str">
        <x:v>Medium</x:v>
      </x:c>
      <x:c r="H11" s="49" t="str">
        <x:v>Content, visibility, and demand</x:v>
      </x:c>
      <x:c r="I11" s="49" t="str">
        <x:v>2025 data</x:v>
      </x:c>
      <x:c r="J11" s="49" t="str">
        <x:v>High</x:v>
      </x:c>
      <x:c r="K11" s="49" t="str">
        <x:v>Test</x:v>
      </x:c>
      <x:c r="L11" s="49" t="str">
        <x:v>https://ec.europa.eu/eurostat/web/interactive-publications/digitalisation-2026</x:v>
      </x:c>
      <x:c r="M11" s="49" t="str">
        <x:v>Target international firms where English buying paths already exist.</x:v>
      </x:c>
    </x:row>
    <x:row r="12" ht="54" customHeight="1">
      <x:c r="A12" s="49" t="str">
        <x:v>MS-011</x:v>
      </x:c>
      <x:c r="B12" s="49" t="str">
        <x:v>2026-08-01</x:v>
      </x:c>
      <x:c r="C12" s="49" t="str">
        <x:v>Nigeria</x:v>
      </x:c>
      <x:c r="D12" s="49" t="str">
        <x:v>Women-led MSMEs and programme operators</x:v>
      </x:c>
      <x:c r="E12" s="49" t="str">
        <x:v>WE-Elevate has open applications and sponsored digital capability delivery</x:v>
      </x:c>
      <x:c r="F12" s="49" t="str">
        <x:v>Funded cohort</x:v>
      </x:c>
      <x:c r="G12" s="49" t="str">
        <x:v>Medium</x:v>
      </x:c>
      <x:c r="H12" s="49" t="str">
        <x:v>Execution and operating systems</x:v>
      </x:c>
      <x:c r="I12" s="49" t="str">
        <x:v>Live/Current</x:v>
      </x:c>
      <x:c r="J12" s="49" t="str">
        <x:v>High</x:v>
      </x:c>
      <x:c r="K12" s="49" t="str">
        <x:v>Partner</x:v>
      </x:c>
      <x:c r="L12" s="49" t="str">
        <x:v>https://programs.startup.gov.ng/we-elevate/</x:v>
      </x:c>
      <x:c r="M12" s="49" t="str">
        <x:v>Approach programme operators with a cohort implementation lab.</x:v>
      </x:c>
    </x:row>
    <x:row r="13" ht="54" customHeight="1">
      <x:c r="A13" s="49" t="str">
        <x:v>MS-012</x:v>
      </x:c>
      <x:c r="B13" s="49" t="str">
        <x:v>2026-08-01</x:v>
      </x:c>
      <x:c r="C13" s="49" t="str">
        <x:v>Ghana</x:v>
      </x:c>
      <x:c r="D13" s="49" t="str">
        <x:v>SME programme operators</x:v>
      </x:c>
      <x:c r="E13" s="49" t="str">
        <x:v>Digitalize for Jobs sought a consultant for 50 SMEs across five regions</x:v>
      </x:c>
      <x:c r="F13" s="49" t="str">
        <x:v>Funded consultancy</x:v>
      </x:c>
      <x:c r="G13" s="49" t="str">
        <x:v>Medium</x:v>
      </x:c>
      <x:c r="H13" s="49" t="str">
        <x:v>Strategy and transformation</x:v>
      </x:c>
      <x:c r="I13" s="49" t="str">
        <x:v>Recent programme</x:v>
      </x:c>
      <x:c r="J13" s="49" t="str">
        <x:v>High</x:v>
      </x:c>
      <x:c r="K13" s="49" t="str">
        <x:v>Partner</x:v>
      </x:c>
      <x:c r="L13" s="49" t="str">
        <x:v>https://gea.gov.gh/2025/02/21/terms-of-reference-digital-literacy-consultant-d4j-2025/</x:v>
      </x:c>
      <x:c r="M13" s="49" t="str">
        <x:v>Track new terms of reference and partner before publication deadlines.</x:v>
      </x:c>
    </x:row>
    <x:row r="14" ht="54" customHeight="1">
      <x:c r="A14" s="49" t="str">
        <x:v>MS-013</x:v>
      </x:c>
      <x:c r="B14" s="49" t="str">
        <x:v>2026-08-01</x:v>
      </x:c>
      <x:c r="C14" s="49" t="str">
        <x:v>United Kingdom</x:v>
      </x:c>
      <x:c r="D14" s="49" t="str">
        <x:v>Company service providers and regulated advisers</x:v>
      </x:c>
      <x:c r="E14" s="49" t="str">
        <x:v>6 to 7 million directors and PSCs expected to verify by mid-November 2026</x:v>
      </x:c>
      <x:c r="F14" s="49" t="str">
        <x:v>Regulatory volume</x:v>
      </x:c>
      <x:c r="G14" s="49" t="str">
        <x:v>Medium</x:v>
      </x:c>
      <x:c r="H14" s="49" t="str">
        <x:v>Digital platforms and brand systems</x:v>
      </x:c>
      <x:c r="I14" s="49" t="str">
        <x:v>Live/Current</x:v>
      </x:c>
      <x:c r="J14" s="49" t="str">
        <x:v>High</x:v>
      </x:c>
      <x:c r="K14" s="49" t="str">
        <x:v>Validate</x:v>
      </x:c>
      <x:c r="L14" s="49" t="str">
        <x:v>https://www.gov.uk/government/news/companies-house-confirms-identity-verification-rollout-from-18-november-2025</x:v>
      </x:c>
      <x:c r="M14" s="49" t="str">
        <x:v>Explore workflow and customer-communication support for ACSPs, not identity verification services.</x:v>
      </x:c>
    </x:row>
    <x:row r="15" ht="54" customHeight="1">
      <x:c r="A15" s="49" t="str">
        <x:v>MS-014</x:v>
      </x:c>
      <x:c r="B15" s="49" t="str">
        <x:v>2026-08-01</x:v>
      </x:c>
      <x:c r="C15" s="49" t="str">
        <x:v>Global advisory</x:v>
      </x:c>
      <x:c r="D15" s="49" t="str">
        <x:v>Advisory firms with multiple lead sources</x:v>
      </x:c>
      <x:c r="E15" s="49" t="str">
        <x:v>Current listing requests enduring HubSpot infrastructure, not isolated automations</x:v>
      </x:c>
      <x:c r="F15" s="49" t="str">
        <x:v>Paid contract</x:v>
      </x:c>
      <x:c r="G15" s="49" t="str">
        <x:v>High</x:v>
      </x:c>
      <x:c r="H15" s="49" t="str">
        <x:v>Execution and operating systems</x:v>
      </x:c>
      <x:c r="I15" s="49" t="str">
        <x:v>Recent</x:v>
      </x:c>
      <x:c r="J15" s="49" t="str">
        <x:v>High</x:v>
      </x:c>
      <x:c r="K15" s="49" t="str">
        <x:v>Pursue</x:v>
      </x:c>
      <x:c r="L15" s="49" t="str">
        <x:v>https://www.upwork.com/freelance-jobs/apply/CRM-Automation-Specialist-Needed-for-Multi-Channel-Lead-Generation_~022008208434886312338/</x:v>
      </x:c>
      <x:c r="M15" s="49" t="str">
        <x:v>Lead with system ownership, documentation, and reporting.</x:v>
      </x:c>
    </x:row>
  </x:sheetData>
  <x:dataValidations count="1">
    <x:dataValidation type="list" sqref="K2:K200">
      <x:formula1>"Pursue,Test,Partner,Validate,Watch,Ignore"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ecef25e8442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13" hidden="0" customWidth="1"/>
    <x:col min="10" max="10" width="48" hidden="0" customWidth="1"/>
  </x:cols>
  <x:sheetData>
    <x:row r="1">
      <x:c r="A1" s="6" t="str">
        <x:v>Theme ID</x:v>
      </x:c>
      <x:c r="B1" s="6" t="str">
        <x:v>Date</x:v>
      </x:c>
      <x:c r="C1" s="6" t="str">
        <x:v>Market</x:v>
      </x:c>
      <x:c r="D1" s="6" t="str">
        <x:v>Channel</x:v>
      </x:c>
      <x:c r="E1" s="6" t="str">
        <x:v>Buyer language or paraphrase</x:v>
      </x:c>
      <x:c r="F1" s="6" t="str">
        <x:v>Pain</x:v>
      </x:c>
      <x:c r="G1" s="6" t="str">
        <x:v>Purchase blocker</x:v>
      </x:c>
      <x:c r="H1" s="6" t="str">
        <x:v>Offer implication</x:v>
      </x:c>
      <x:c r="I1" s="6" t="str">
        <x:v>Confidence</x:v>
      </x:c>
      <x:c r="J1" s="6" t="str">
        <x:v>Source URL</x:v>
      </x:c>
    </x:row>
    <x:row r="2" ht="68" customHeight="1">
      <x:c r="A2" s="49" t="str">
        <x:v>D-001</x:v>
      </x:c>
      <x:c r="B2" s="49" t="str">
        <x:v>2026-05-03</x:v>
      </x:c>
      <x:c r="C2" s="49" t="str">
        <x:v>United Kingdom</x:v>
      </x:c>
      <x:c r="D2" s="49" t="str">
        <x:v>Reddit smallbusinessuk</x:v>
      </x:c>
      <x:c r="E2" s="49" t="str">
        <x:v>Owners receive vague website spam with no explanation of how results improve.</x:v>
      </x:c>
      <x:c r="F2" s="49" t="str">
        <x:v>Agency distrust</x:v>
      </x:c>
      <x:c r="G2" s="49" t="str">
        <x:v>Generic outreach is assumed to be low effort.</x:v>
      </x:c>
      <x:c r="H2" s="49" t="str">
        <x:v>Open with company-specific evidence and a useful artefact, not a claim.</x:v>
      </x:c>
      <x:c r="I2" s="49" t="str">
        <x:v>High</x:v>
      </x:c>
      <x:c r="J2" s="49" t="str">
        <x:v>https://www.reddit.com/r/smallbusinessuk/comments/1t2frr4/removed/</x:v>
      </x:c>
    </x:row>
    <x:row r="3" ht="68" customHeight="1">
      <x:c r="A3" s="49" t="str">
        <x:v>D-002</x:v>
      </x:c>
      <x:c r="B3" s="49" t="str">
        <x:v>2026-04-22</x:v>
      </x:c>
      <x:c r="C3" s="49" t="str">
        <x:v>UAE</x:v>
      </x:c>
      <x:c r="D3" s="49" t="str">
        <x:v>Reddit SmallBusinessUAE</x:v>
      </x:c>
      <x:c r="E3" s="49" t="str">
        <x:v>SMEs want execution and measurable ROI more than standalone consulting.</x:v>
      </x:c>
      <x:c r="F3" s="49" t="str">
        <x:v>Implementation gap</x:v>
      </x:c>
      <x:c r="G3" s="49" t="str">
        <x:v>Strategy-only offers require selling the idea of consulting.</x:v>
      </x:c>
      <x:c r="H3" s="49" t="str">
        <x:v>Bundle diagnosis, build, and operating support in one offer.</x:v>
      </x:c>
      <x:c r="I3" s="49" t="str">
        <x:v>Medium</x:v>
      </x:c>
      <x:c r="J3" s="49" t="str">
        <x:v>https://www.reddit.com/r/SmallBusinessUAE/comments/1ssm75k/is_it_worth_offering_marketing_consulting_to_smes/</x:v>
      </x:c>
    </x:row>
    <x:row r="4" ht="68" customHeight="1">
      <x:c r="A4" s="49" t="str">
        <x:v>D-003</x:v>
      </x:c>
      <x:c r="B4" s="49" t="str">
        <x:v>2026-04-22</x:v>
      </x:c>
      <x:c r="C4" s="49" t="str">
        <x:v>UAE</x:v>
      </x:c>
      <x:c r="D4" s="49" t="str">
        <x:v>Reddit SmallBusinessUAE</x:v>
      </x:c>
      <x:c r="E4" s="49" t="str">
        <x:v>Buyers compare against cheaper offshore freelancers.</x:v>
      </x:c>
      <x:c r="F4" s="49" t="str">
        <x:v>Price pressure</x:v>
      </x:c>
      <x:c r="G4" s="49" t="str">
        <x:v>Broad agency retainers are treated as interchangeable.</x:v>
      </x:c>
      <x:c r="H4" s="49" t="str">
        <x:v>Target high-consequence workflows and show ownership, controls, and evidence.</x:v>
      </x:c>
      <x:c r="I4" s="49" t="str">
        <x:v>Medium</x:v>
      </x:c>
      <x:c r="J4" s="49" t="str">
        <x:v>https://www.reddit.com/r/SmallBusinessUAE/comments/1ssm75k/is_it_worth_offering_marketing_consulting_to_smes/</x:v>
      </x:c>
    </x:row>
    <x:row r="5" ht="68" customHeight="1">
      <x:c r="A5" s="49" t="str">
        <x:v>D-004</x:v>
      </x:c>
      <x:c r="B5" s="49" t="str">
        <x:v>2026-05-23</x:v>
      </x:c>
      <x:c r="C5" s="49" t="str">
        <x:v>UAE</x:v>
      </x:c>
      <x:c r="D5" s="49" t="str">
        <x:v>Reddit SmallBusinessUAE</x:v>
      </x:c>
      <x:c r="E5" s="49" t="str">
        <x:v>Many firms are people-run rather than process-run, with knowledge inside trusted employees.</x:v>
      </x:c>
      <x:c r="F5" s="49" t="str">
        <x:v>Undocumented operations</x:v>
      </x:c>
      <x:c r="G5" s="49" t="str">
        <x:v>Automation exposes accountability and creates internal resistance.</x:v>
      </x:c>
      <x:c r="H5" s="49" t="str">
        <x:v>Sell a process ownership sprint before automation.</x:v>
      </x:c>
      <x:c r="I5" s="49" t="str">
        <x:v>Medium</x:v>
      </x:c>
      <x:c r="J5" s="49" t="str">
        <x:v>https://www.reddit.com/r/SmallBusinessUAE/comments/1tl41wz/helping_small_businesses_automate_build_websites/</x:v>
      </x:c>
    </x:row>
    <x:row r="6" ht="68" customHeight="1">
      <x:c r="A6" s="49" t="str">
        <x:v>D-005</x:v>
      </x:c>
      <x:c r="B6" s="49" t="str">
        <x:v>2026-07-20</x:v>
      </x:c>
      <x:c r="C6" s="49" t="str">
        <x:v>Global</x:v>
      </x:c>
      <x:c r="D6" s="49" t="str">
        <x:v>Reddit business owners</x:v>
      </x:c>
      <x:c r="E6" s="49" t="str">
        <x:v>AI agency workflows are viewed as fragile, unmonitored, and unclear on ownership.</x:v>
      </x:c>
      <x:c r="F6" s="49" t="str">
        <x:v>Trust and reliability</x:v>
      </x:c>
      <x:c r="G6" s="49" t="str">
        <x:v>Buyers fear vendor lock-in and silent failure.</x:v>
      </x:c>
      <x:c r="H6" s="49" t="str">
        <x:v>Differentiate with evaluations, error handling, logs, handover, and client ownership.</x:v>
      </x:c>
      <x:c r="I6" s="49" t="str">
        <x:v>Medium</x:v>
      </x:c>
      <x:c r="J6" s="49" t="str">
        <x:v>https://www.reddit.com/r/Businessowners/comments/1v1orru/a_few_things_id_tell_any_business_owner_before/</x:v>
      </x:c>
    </x:row>
    <x:row r="7" ht="68" customHeight="1">
      <x:c r="A7" s="49" t="str">
        <x:v>D-006</x:v>
      </x:c>
      <x:c r="B7" s="49" t="str">
        <x:v>2026-03-11</x:v>
      </x:c>
      <x:c r="C7" s="49" t="str">
        <x:v>Global</x:v>
      </x:c>
      <x:c r="D7" s="49" t="str">
        <x:v>Reddit AI for small business</x:v>
      </x:c>
      <x:c r="E7" s="49" t="str">
        <x:v>ROI appears in lead response, booking, review responses, onboarding, and repetitive admin.</x:v>
      </x:c>
      <x:c r="F7" s="49" t="str">
        <x:v>Lost time and lost leads</x:v>
      </x:c>
      <x:c r="G7" s="49" t="str">
        <x:v>Buyers are tired of broad AI transformation promises.</x:v>
      </x:c>
      <x:c r="H7" s="49" t="str">
        <x:v>Sell one measurable workflow with a baseline and acceptance test.</x:v>
      </x:c>
      <x:c r="I7" s="49" t="str">
        <x:v>Medium</x:v>
      </x:c>
      <x:c r="J7" s="49" t="str">
        <x:v>https://www.reddit.com/r/AiForSmallBusiness/comments/1rqw37o/small_business_owners_using_ai_whats_actually/</x:v>
      </x:c>
    </x:row>
    <x:row r="8" ht="68" customHeight="1">
      <x:c r="A8" s="49" t="str">
        <x:v>D-007</x:v>
      </x:c>
      <x:c r="B8" s="49" t="str">
        <x:v>2026-06-26</x:v>
      </x:c>
      <x:c r="C8" s="49" t="str">
        <x:v>Global</x:v>
      </x:c>
      <x:c r="D8" s="49" t="str">
        <x:v>Reddit AI automation</x:v>
      </x:c>
      <x:c r="E8" s="49" t="str">
        <x:v>High-value work sits in data plumbing and legacy-system replacement, not agent demos.</x:v>
      </x:c>
      <x:c r="F8" s="49" t="str">
        <x:v>Systems integration</x:v>
      </x:c>
      <x:c r="G8" s="49" t="str">
        <x:v>Small firms may lack the budget or process maturity.</x:v>
      </x:c>
      <x:c r="H8" s="49" t="str">
        <x:v>Target firms already paying for legacy systems or hiring technical operators.</x:v>
      </x:c>
      <x:c r="I8" s="49" t="str">
        <x:v>Medium</x:v>
      </x:c>
      <x:c r="J8" s="49" t="str">
        <x:v>https://www.reddit.com/r/AiAutomations/comments/1uggqp3/ive_made_350k_in_ai_consulting_and_the_money_isnt/</x:v>
      </x:c>
    </x:row>
    <x:row r="9" ht="68" customHeight="1">
      <x:c r="A9" s="49" t="str">
        <x:v>D-008</x:v>
      </x:c>
      <x:c r="B9" s="49" t="str">
        <x:v>2025-07-31</x:v>
      </x:c>
      <x:c r="C9" s="49" t="str">
        <x:v>United Kingdom</x:v>
      </x:c>
      <x:c r="D9" s="49" t="str">
        <x:v>Government SME research</x:v>
      </x:c>
      <x:c r="E9" s="49" t="str">
        <x:v>Adoption feels hard, costly, risky, and short on execution support.</x:v>
      </x:c>
      <x:c r="F9" s="49" t="str">
        <x:v>Adoption risk</x:v>
      </x:c>
      <x:c r="G9" s="49" t="str">
        <x:v>SMEs overrate readiness and fear switching.</x:v>
      </x:c>
      <x:c r="H9" s="49" t="str">
        <x:v>Offer a staged diagnostic, pilot, ownership plan, and rollback path.</x:v>
      </x:c>
      <x:c r="I9" s="49" t="str">
        <x:v>High</x:v>
      </x:c>
      <x:c r="J9" s="49" t="str">
        <x:v>https://www.gov.uk/government/publications/sme-digital-adoption-taskforce-final-report/sme-digital-adoption-taskforce-final-report</x:v>
      </x:c>
    </x:row>
    <x:row r="10" ht="68" customHeight="1">
      <x:c r="A10" s="49" t="str">
        <x:v>D-009</x:v>
      </x:c>
      <x:c r="B10" s="49" t="str">
        <x:v>2026-06-01</x:v>
      </x:c>
      <x:c r="C10" s="49" t="str">
        <x:v>UAE</x:v>
      </x:c>
      <x:c r="D10" s="49" t="str">
        <x:v>Reddit SmallBusinessUAE</x:v>
      </x:c>
      <x:c r="E10" s="49" t="str">
        <x:v>Owners ask what AI subscriptions or workflows actually save money.</x:v>
      </x:c>
      <x:c r="F10" s="49" t="str">
        <x:v>Proof uncertainty</x:v>
      </x:c>
      <x:c r="G10" s="49" t="str">
        <x:v>News-level adoption claims do not translate into purchase intent.</x:v>
      </x:c>
      <x:c r="H10" s="49" t="str">
        <x:v>Use before-and-after operational measures, not AI vocabulary.</x:v>
      </x:c>
      <x:c r="I10" s="49" t="str">
        <x:v>Low</x:v>
      </x:c>
      <x:c r="J10" s="49" t="str">
        <x:v>https://www.reddit.com/r/SmallBusinessUAE/comments/1ttqhu4/ai_at_smes_in_uae/</x:v>
      </x:c>
    </x:row>
    <x:row r="11" ht="68" customHeight="1">
      <x:c r="A11" s="49" t="str">
        <x:v>D-010</x:v>
      </x:c>
      <x:c r="B11" s="49" t="str">
        <x:v>2026-01-01</x:v>
      </x:c>
      <x:c r="C11" s="49" t="str">
        <x:v>Global and UK</x:v>
      </x:c>
      <x:c r="D11" s="49" t="str">
        <x:v>Paid contract listings</x:v>
      </x:c>
      <x:c r="E11" s="49" t="str">
        <x:v>Buyers request lifecycle design, governance, deduplication, routing, reporting, and documentation.</x:v>
      </x:c>
      <x:c r="F11" s="49" t="str">
        <x:v>Revenue-system fragmentation</x:v>
      </x:c>
      <x:c r="G11" s="49" t="str">
        <x:v>Template automations do not solve cross-functional ownership.</x:v>
      </x:c>
      <x:c r="H11" s="49" t="str">
        <x:v>Productise architecture plus implementation plus handover.</x:v>
      </x:c>
      <x:c r="I11" s="49" t="str">
        <x:v>High</x:v>
      </x:c>
      <x:c r="J11" s="49" t="str">
        <x:v>https://www.upwork.com/freelance-jobs/apply/HubSpot-CRM-Marketing-Automation-Specialist_~022008479471455425352/</x:v>
      </x:c>
    </x:row>
  </x:sheetData>
  <x:pageMargins left="0.7" right="0.7" top="0.75" bottom="0.75" header="0.3" footer="0.3"/>
  <x:tableParts count="1">
    <x:tablePart xmlns:r="http://schemas.openxmlformats.org/officeDocument/2006/relationships" r:id="Rf668905f88cd47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2" hidden="0" customWidth="1"/>
    <x:col min="9" max="9" width="34" hidden="0" customWidth="1"/>
  </x:cols>
  <x:sheetData>
    <x:row r="1">
      <x:c r="A1" s="6" t="str">
        <x:v>Trigger ID</x:v>
      </x:c>
      <x:c r="B1" s="6" t="str">
        <x:v>Observable event</x:v>
      </x:c>
      <x:c r="C1" s="6" t="str">
        <x:v>Detection source</x:v>
      </x:c>
      <x:c r="D1" s="6" t="str">
        <x:v>Action window</x:v>
      </x:c>
      <x:c r="E1" s="6" t="str">
        <x:v>Entry offer</x:v>
      </x:c>
      <x:c r="F1" s="6" t="str">
        <x:v>Buyer</x:v>
      </x:c>
      <x:c r="G1" s="6" t="str">
        <x:v>Unconventional play</x:v>
      </x:c>
      <x:c r="H1" s="6" t="str">
        <x:v>Status</x:v>
      </x:c>
      <x:c r="I1" s="6" t="str">
        <x:v>Disqualifier</x:v>
      </x:c>
    </x:row>
    <x:row r="2" ht="60" customHeight="1">
      <x:c r="A2" s="49" t="str">
        <x:v>T-001</x:v>
      </x:c>
      <x:c r="B2" s="49" t="str">
        <x:v>HubSpot or RevOps expert job posted</x:v>
      </x:c>
      <x:c r="C2" s="49" t="str">
        <x:v>Job boards, LinkedIn jobs, Upwork</x:v>
      </x:c>
      <x:c r="D2" s="49" t="str">
        <x:v>72 hours</x:v>
      </x:c>
      <x:c r="E2" s="49" t="str">
        <x:v>Revenue System Architecture Sprint</x:v>
      </x:c>
      <x:c r="F2" s="49" t="str">
        <x:v>Company, RevOps lead, founder</x:v>
      </x:c>
      <x:c r="G2" s="49" t="str">
        <x:v>Show a fixed alternative or pre-hire bridge.</x:v>
      </x:c>
      <x:c r="H2" s="49" t="str">
        <x:v>Now</x:v>
      </x:c>
      <x:c r="I2" s="49" t="str">
        <x:v>Role is entry-level admin only</x:v>
      </x:c>
    </x:row>
    <x:row r="3" ht="60" customHeight="1">
      <x:c r="A3" s="49" t="str">
        <x:v>T-002</x:v>
      </x:c>
      <x:c r="B3" s="49" t="str">
        <x:v>Customer-facing AI or synthetic content goes live</x:v>
      </x:c>
      <x:c r="C3" s="49" t="str">
        <x:v>Website, chatbot, product release, social content</x:v>
      </x:c>
      <x:c r="D3" s="49" t="str">
        <x:v>Before or immediately after 2 Aug 2026</x:v>
      </x:c>
      <x:c r="E3" s="49" t="str">
        <x:v>AI Transparency Readiness Sprint</x:v>
      </x:c>
      <x:c r="F3" s="49" t="str">
        <x:v>Legal, operations, marketing, product</x:v>
      </x:c>
      <x:c r="G3" s="49" t="str">
        <x:v>Inventory interactions, disclosures, evidence, and ownership. Not legal advice.</x:v>
      </x:c>
      <x:c r="H3" s="49" t="str">
        <x:v>Now</x:v>
      </x:c>
      <x:c r="I3" s="49" t="str">
        <x:v>No EU exposure or public AI interaction</x:v>
      </x:c>
    </x:row>
    <x:row r="4" ht="60" customHeight="1">
      <x:c r="A4" s="49" t="str">
        <x:v>T-003</x:v>
      </x:c>
      <x:c r="B4" s="49" t="str">
        <x:v>WhatsApp is the visible enquiry channel</x:v>
      </x:c>
      <x:c r="C4" s="49" t="str">
        <x:v>Website, Google profile, Meta pages</x:v>
      </x:c>
      <x:c r="D4" s="49" t="str">
        <x:v>Within 7 days</x:v>
      </x:c>
      <x:c r="E4" s="49" t="str">
        <x:v>WhatsApp-to-Revenue Operating System</x:v>
      </x:c>
      <x:c r="F4" s="49" t="str">
        <x:v>Founder, sales, operations</x:v>
      </x:c>
      <x:c r="G4" s="49" t="str">
        <x:v>Map capture, consent, routing, response, CRM writeback, and reporting.</x:v>
      </x:c>
      <x:c r="H4" s="49" t="str">
        <x:v>Now</x:v>
      </x:c>
      <x:c r="I4" s="49" t="str">
        <x:v>No repeatable enquiry volume</x:v>
      </x:c>
    </x:row>
    <x:row r="5" ht="60" customHeight="1">
      <x:c r="A5" s="49" t="str">
        <x:v>T-004</x:v>
      </x:c>
      <x:c r="B5" s="49" t="str">
        <x:v>Digital grant or voucher opens</x:v>
      </x:c>
      <x:c r="C5" s="49" t="str">
        <x:v>LEO, chamber, ministry, programme portal</x:v>
      </x:c>
      <x:c r="D5" s="49" t="str">
        <x:v>Before application window closes</x:v>
      </x:c>
      <x:c r="E5" s="49" t="str">
        <x:v>Grant-Ready Implementation Plan</x:v>
      </x:c>
      <x:c r="F5" s="49" t="str">
        <x:v>Programme adviser, accountant, SME owner</x:v>
      </x:c>
      <x:c r="G5" s="49" t="str">
        <x:v>Partner with eligible providers and prepare measurable scopes.</x:v>
      </x:c>
      <x:c r="H5" s="49" t="str">
        <x:v>Watch</x:v>
      </x:c>
      <x:c r="I5" s="49" t="str">
        <x:v>BridgeWorks or service is ineligible</x:v>
      </x:c>
    </x:row>
    <x:row r="6" ht="60" customHeight="1">
      <x:c r="A6" s="49" t="str">
        <x:v>T-005</x:v>
      </x:c>
      <x:c r="B6" s="49" t="str">
        <x:v>Company hires a fractional operator</x:v>
      </x:c>
      <x:c r="C6" s="49" t="str">
        <x:v>LinkedIn jobs, founder posts, career page</x:v>
      </x:c>
      <x:c r="D6" s="49" t="str">
        <x:v>Within 7 days</x:v>
      </x:c>
      <x:c r="E6" s="49" t="str">
        <x:v>Pre-Hire Operating System Sprint</x:v>
      </x:c>
      <x:c r="F6" s="49" t="str">
        <x:v>Founder, COO, functional lead</x:v>
      </x:c>
      <x:c r="G6" s="49" t="str">
        <x:v>Build the scorecard, workflows, and first 30 days before the hire starts.</x:v>
      </x:c>
      <x:c r="H6" s="49" t="str">
        <x:v>Watch</x:v>
      </x:c>
      <x:c r="I6" s="49" t="str">
        <x:v>The role is already filled</x:v>
      </x:c>
    </x:row>
    <x:row r="7" ht="60" customHeight="1">
      <x:c r="A7" s="49" t="str">
        <x:v>T-006</x:v>
      </x:c>
      <x:c r="B7" s="49" t="str">
        <x:v>Funding, acquisition, or new office announced</x:v>
      </x:c>
      <x:c r="C7" s="49" t="str">
        <x:v>News, Crunchbase, company posts</x:v>
      </x:c>
      <x:c r="D7" s="49" t="str">
        <x:v>Within 14 days</x:v>
      </x:c>
      <x:c r="E7" s="49" t="str">
        <x:v>Direction-to-Execution Brief</x:v>
      </x:c>
      <x:c r="F7" s="49" t="str">
        <x:v>Founder, CEO, COO</x:v>
      </x:c>
      <x:c r="G7" s="49" t="str">
        <x:v>Map decisions, ownership, systems, and market-entry handoffs.</x:v>
      </x:c>
      <x:c r="H7" s="49" t="str">
        <x:v>Watch</x:v>
      </x:c>
      <x:c r="I7" s="49" t="str">
        <x:v>No operational consequence is visible</x:v>
      </x:c>
    </x:row>
    <x:row r="8" ht="60" customHeight="1">
      <x:c r="A8" s="49" t="str">
        <x:v>T-007</x:v>
      </x:c>
      <x:c r="B8" s="49" t="str">
        <x:v>Paid ads are active but enquiry route is weak</x:v>
      </x:c>
      <x:c r="C8" s="49" t="str">
        <x:v>Google Ads Transparency, Meta Ad Library, website</x:v>
      </x:c>
      <x:c r="D8" s="49" t="str">
        <x:v>Within 7 days</x:v>
      </x:c>
      <x:c r="E8" s="49" t="str">
        <x:v>Lead Leak Evidence Audit</x:v>
      </x:c>
      <x:c r="F8" s="49" t="str">
        <x:v>Growth lead, founder</x:v>
      </x:c>
      <x:c r="G8" s="49" t="str">
        <x:v>Tie observed spend to broken routing, proof, or response paths.</x:v>
      </x:c>
      <x:c r="H8" s="49" t="str">
        <x:v>Watch</x:v>
      </x:c>
      <x:c r="I8" s="49" t="str">
        <x:v>No verifiable ad activity</x:v>
      </x:c>
    </x:row>
    <x:row r="9" ht="60" customHeight="1">
      <x:c r="A9" s="49" t="str">
        <x:v>T-008</x:v>
      </x:c>
      <x:c r="B9" s="49" t="str">
        <x:v>Legacy platform complaint or migration search appears</x:v>
      </x:c>
      <x:c r="C9" s="49" t="str">
        <x:v>G2, Reddit, job posts, partner forums</x:v>
      </x:c>
      <x:c r="D9" s="49" t="str">
        <x:v>Within 14 days</x:v>
      </x:c>
      <x:c r="E9" s="49" t="str">
        <x:v>Migration Risk and Ownership Sprint</x:v>
      </x:c>
      <x:c r="F9" s="49" t="str">
        <x:v>Operations, IT, RevOps</x:v>
      </x:c>
      <x:c r="G9" s="49" t="str">
        <x:v>Define data, exceptions, rollback, ownership, and acceptance tests.</x:v>
      </x:c>
      <x:c r="H9" s="49" t="str">
        <x:v>Watch</x:v>
      </x:c>
      <x:c r="I9" s="49" t="str">
        <x:v>Complaint is isolated or anonymous</x:v>
      </x:c>
    </x:row>
    <x:row r="10" ht="60" customHeight="1">
      <x:c r="A10" s="49" t="str">
        <x:v>T-009</x:v>
      </x:c>
      <x:c r="B10" s="49" t="str">
        <x:v>Institution funds an SME cohort</x:v>
      </x:c>
      <x:c r="C10" s="49" t="str">
        <x:v>Government, donor, chamber, accelerator</x:v>
      </x:c>
      <x:c r="D10" s="49" t="str">
        <x:v>Before procurement publication</x:v>
      </x:c>
      <x:c r="E10" s="49" t="str">
        <x:v>Cohort Diagnostic and Implementation Lab</x:v>
      </x:c>
      <x:c r="F10" s="49" t="str">
        <x:v>Programme director, delivery partner</x:v>
      </x:c>
      <x:c r="G10" s="49" t="str">
        <x:v>Sell one cohort outcome with pre/post evidence.</x:v>
      </x:c>
      <x:c r="H10" s="49" t="str">
        <x:v>Watch</x:v>
      </x:c>
      <x:c r="I10" s="49" t="str">
        <x:v>Only unpaid mentorship is available</x:v>
      </x:c>
    </x:row>
    <x:row r="11" ht="60" customHeight="1">
      <x:c r="A11" s="49" t="str">
        <x:v>T-010</x:v>
      </x:c>
      <x:c r="B11" s="49" t="str">
        <x:v>Accountant, CFO, or agency sees repeat client system gaps</x:v>
      </x:c>
      <x:c r="C11" s="49" t="str">
        <x:v>Partner conversations and referrals</x:v>
      </x:c>
      <x:c r="D11" s="49" t="str">
        <x:v>Ongoing</x:v>
      </x:c>
      <x:c r="E11" s="49" t="str">
        <x:v>BridgeWorks Delivery Partner Model</x:v>
      </x:c>
      <x:c r="F11" s="49" t="str">
        <x:v>Specialist adviser or agency owner</x:v>
      </x:c>
      <x:c r="G11" s="49" t="str">
        <x:v>Let the partner retain trust while BridgeWorks builds the cross-functional system.</x:v>
      </x:c>
      <x:c r="H11" s="49" t="str">
        <x:v>Watch</x:v>
      </x:c>
      <x:c r="I11" s="49" t="str">
        <x:v>Partner cannot introduce qualified buyers</x:v>
      </x:c>
    </x:row>
  </x:sheetData>
  <x:dataValidations count="1">
    <x:dataValidation type="list" sqref="H2:H200">
      <x:formula1>"Now,Watch,Paused,Retired"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147a7a116646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38" hidden="0" customWidth="1"/>
    <x:col min="5" max="5" width="14" hidden="0" customWidth="1"/>
    <x:col min="6" max="6" width="14" hidden="0" customWidth="1"/>
    <x:col min="7" max="7" width="70" hidden="0" customWidth="1"/>
  </x:cols>
  <x:sheetData>
    <x:row r="1">
      <x:c r="A1" s="6" t="str">
        <x:v>Source ID</x:v>
      </x:c>
      <x:c r="B1" s="6" t="str">
        <x:v>Publisher</x:v>
      </x:c>
      <x:c r="C1" s="6" t="str">
        <x:v>Evidence</x:v>
      </x:c>
      <x:c r="D1" s="6" t="str">
        <x:v>Type</x:v>
      </x:c>
      <x:c r="E1" s="6" t="str">
        <x:v>Accessed</x:v>
      </x:c>
      <x:c r="F1" s="6" t="str">
        <x:v>Confidence</x:v>
      </x:c>
      <x:c r="G1" s="6" t="str">
        <x:v>URL</x:v>
      </x:c>
    </x:row>
    <x:row r="2" ht="44" customHeight="1">
      <x:c r="A2" s="49" t="str">
        <x:v>S-001</x:v>
      </x:c>
      <x:c r="B2" s="49" t="str">
        <x:v>Eurostat</x:v>
      </x:c>
      <x:c r="C2" s="49" t="str">
        <x:v>EU enterprise AI adoption 2025</x:v>
      </x:c>
      <x:c r="D2" s="49" t="str">
        <x:v>Official statistics</x:v>
      </x:c>
      <x:c r="E2" s="49" t="str">
        <x:v>2026-08-01</x:v>
      </x:c>
      <x:c r="F2" s="49" t="str">
        <x:v>High</x:v>
      </x:c>
      <x:c r="G2" s="49" t="str">
        <x:v>https://ec.europa.eu/eurostat/web/products-eurostat-news/w/ddn-20251211-2</x:v>
      </x:c>
    </x:row>
    <x:row r="3" ht="44" customHeight="1">
      <x:c r="A3" s="49" t="str">
        <x:v>S-002</x:v>
      </x:c>
      <x:c r="B3" s="49" t="str">
        <x:v>Eurostat</x:v>
      </x:c>
      <x:c r="C3" s="49" t="str">
        <x:v>Digitalisation in Europe 2026</x:v>
      </x:c>
      <x:c r="D3" s="49" t="str">
        <x:v>Official statistics</x:v>
      </x:c>
      <x:c r="E3" s="49" t="str">
        <x:v>2026-08-01</x:v>
      </x:c>
      <x:c r="F3" s="49" t="str">
        <x:v>High</x:v>
      </x:c>
      <x:c r="G3" s="49" t="str">
        <x:v>https://ec.europa.eu/eurostat/web/interactive-publications/digitalisation-2026</x:v>
      </x:c>
    </x:row>
    <x:row r="4" ht="44" customHeight="1">
      <x:c r="A4" s="49" t="str">
        <x:v>S-003</x:v>
      </x:c>
      <x:c r="B4" s="49" t="str">
        <x:v>European Commission</x:v>
      </x:c>
      <x:c r="C4" s="49" t="str">
        <x:v>AI Act Article 50 transparency guidance</x:v>
      </x:c>
      <x:c r="D4" s="49" t="str">
        <x:v>Official regulation guidance</x:v>
      </x:c>
      <x:c r="E4" s="49" t="str">
        <x:v>2026-08-01</x:v>
      </x:c>
      <x:c r="F4" s="49" t="str">
        <x:v>High</x:v>
      </x:c>
      <x:c r="G4" s="49" t="str">
        <x:v>https://digital-strategy.ec.europa.eu/en/news/commission-publishes-guidelines-transparency-obligations-providers-and-deployers-certain-ai-systems</x:v>
      </x:c>
    </x:row>
    <x:row r="5" ht="44" customHeight="1">
      <x:c r="A5" s="49" t="str">
        <x:v>S-004</x:v>
      </x:c>
      <x:c r="B5" s="49" t="str">
        <x:v>UK Department for Business and Trade</x:v>
      </x:c>
      <x:c r="C5" s="49" t="str">
        <x:v>SME digital adoption research</x:v>
      </x:c>
      <x:c r="D5" s="49" t="str">
        <x:v>Official research</x:v>
      </x:c>
      <x:c r="E5" s="49" t="str">
        <x:v>2026-08-01</x:v>
      </x:c>
      <x:c r="F5" s="49" t="str">
        <x:v>High</x:v>
      </x:c>
      <x:c r="G5" s="49" t="str">
        <x:v>https://www.gov.uk/government/publications/understanding-technology-adoption-among-uk-smes</x:v>
      </x:c>
    </x:row>
    <x:row r="6" ht="44" customHeight="1">
      <x:c r="A6" s="49" t="str">
        <x:v>S-005</x:v>
      </x:c>
      <x:c r="B6" s="49" t="str">
        <x:v>UK SME Digital Adoption Taskforce</x:v>
      </x:c>
      <x:c r="C6" s="49" t="str">
        <x:v>Final report</x:v>
      </x:c>
      <x:c r="D6" s="49" t="str">
        <x:v>Official policy report</x:v>
      </x:c>
      <x:c r="E6" s="49" t="str">
        <x:v>2026-08-01</x:v>
      </x:c>
      <x:c r="F6" s="49" t="str">
        <x:v>High</x:v>
      </x:c>
      <x:c r="G6" s="49" t="str">
        <x:v>https://www.gov.uk/government/publications/sme-digital-adoption-taskforce-final-report/sme-digital-adoption-taskforce-final-report</x:v>
      </x:c>
    </x:row>
    <x:row r="7" ht="44" customHeight="1">
      <x:c r="A7" s="49" t="str">
        <x:v>S-006</x:v>
      </x:c>
      <x:c r="B7" s="49" t="str">
        <x:v>Local Enterprise Office Dublin</x:v>
      </x:c>
      <x:c r="C7" s="49" t="str">
        <x:v>Grow Digital Voucher</x:v>
      </x:c>
      <x:c r="D7" s="49" t="str">
        <x:v>Official programme</x:v>
      </x:c>
      <x:c r="E7" s="49" t="str">
        <x:v>2026-08-01</x:v>
      </x:c>
      <x:c r="F7" s="49" t="str">
        <x:v>High</x:v>
      </x:c>
      <x:c r="G7" s="49" t="str">
        <x:v>https://www.localenterprise.ie/DublinCity/DublinCity/</x:v>
      </x:c>
    </x:row>
    <x:row r="8" ht="44" customHeight="1">
      <x:c r="A8" s="49" t="str">
        <x:v>S-007</x:v>
      </x:c>
      <x:c r="B8" s="49" t="str">
        <x:v>UAE Government</x:v>
      </x:c>
      <x:c r="C8" s="49" t="str">
        <x:v>National Agenda for Entrepreneurship and SMEs</x:v>
      </x:c>
      <x:c r="D8" s="49" t="str">
        <x:v>Official policy</x:v>
      </x:c>
      <x:c r="E8" s="49" t="str">
        <x:v>2026-08-01</x:v>
      </x:c>
      <x:c r="F8" s="49" t="str">
        <x:v>High</x:v>
      </x:c>
      <x:c r="G8" s="49" t="str">
        <x:v>https://u.ae/en/about-the-uae/strategies-initiatives-and-awards/strategies-plans-and-visions/finance-and-economy/the-national-agenda-for-entrepreneurship-and-smes</x:v>
      </x:c>
    </x:row>
    <x:row r="9" ht="44" customHeight="1">
      <x:c r="A9" s="49" t="str">
        <x:v>S-008</x:v>
      </x:c>
      <x:c r="B9" s="49" t="str">
        <x:v>UAE Government</x:v>
      </x:c>
      <x:c r="C9" s="49" t="str">
        <x:v>AI-enabled digital transformation investment</x:v>
      </x:c>
      <x:c r="D9" s="49" t="str">
        <x:v>Official programme</x:v>
      </x:c>
      <x:c r="E9" s="49" t="str">
        <x:v>2026-08-01</x:v>
      </x:c>
      <x:c r="F9" s="49" t="str">
        <x:v>High</x:v>
      </x:c>
      <x:c r="G9" s="49" t="str">
        <x:v>https://u.ae/en/information-and-services/business/public-private-people-partnership/pppp/AI-enabled-digital-transformation-via-PPPP</x:v>
      </x:c>
    </x:row>
    <x:row r="10" ht="44" customHeight="1">
      <x:c r="A10" s="49" t="str">
        <x:v>S-009</x:v>
      </x:c>
      <x:c r="B10" s="49" t="str">
        <x:v>Upwork</x:v>
      </x:c>
      <x:c r="C10" s="49" t="str">
        <x:v>CRM jobs category</x:v>
      </x:c>
      <x:c r="D10" s="49" t="str">
        <x:v>Paid marketplace</x:v>
      </x:c>
      <x:c r="E10" s="49" t="str">
        <x:v>2026-08-01</x:v>
      </x:c>
      <x:c r="F10" s="49" t="str">
        <x:v>Medium</x:v>
      </x:c>
      <x:c r="G10" s="49" t="str">
        <x:v>https://www.upwork.com/freelance-jobs/crm/</x:v>
      </x:c>
    </x:row>
    <x:row r="11" ht="44" customHeight="1">
      <x:c r="A11" s="49" t="str">
        <x:v>S-010</x:v>
      </x:c>
      <x:c r="B11" s="49" t="str">
        <x:v>Upwork</x:v>
      </x:c>
      <x:c r="C11" s="49" t="str">
        <x:v>HubSpot CRM and marketing automation specialist</x:v>
      </x:c>
      <x:c r="D11" s="49" t="str">
        <x:v>Paid listing</x:v>
      </x:c>
      <x:c r="E11" s="49" t="str">
        <x:v>2026-08-01</x:v>
      </x:c>
      <x:c r="F11" s="49" t="str">
        <x:v>High</x:v>
      </x:c>
      <x:c r="G11" s="49" t="str">
        <x:v>https://www.upwork.com/freelance-jobs/apply/HubSpot-CRM-Marketing-Automation-Specialist_~022008479471455425352/</x:v>
      </x:c>
    </x:row>
    <x:row r="12" ht="44" customHeight="1">
      <x:c r="A12" s="49" t="str">
        <x:v>S-011</x:v>
      </x:c>
      <x:c r="B12" s="49" t="str">
        <x:v>Upwork</x:v>
      </x:c>
      <x:c r="C12" s="49" t="str">
        <x:v>HubSpot and WhatsApp integration</x:v>
      </x:c>
      <x:c r="D12" s="49" t="str">
        <x:v>Paid listing</x:v>
      </x:c>
      <x:c r="E12" s="49" t="str">
        <x:v>2026-08-01</x:v>
      </x:c>
      <x:c r="F12" s="49" t="str">
        <x:v>High</x:v>
      </x:c>
      <x:c r="G12" s="49" t="str">
        <x:v>https://www.upwork.com/freelance-jobs/apply/HubSpot-CRM-WhatsApp-Business-Integration-Automation-Setup_~021981945072412147298/</x:v>
      </x:c>
    </x:row>
    <x:row r="13" ht="44" customHeight="1">
      <x:c r="A13" s="49" t="str">
        <x:v>S-012</x:v>
      </x:c>
      <x:c r="B13" s="49" t="str">
        <x:v>Startup Nigeria and NITDA</x:v>
      </x:c>
      <x:c r="C13" s="49" t="str">
        <x:v>WE-Elevate</x:v>
      </x:c>
      <x:c r="D13" s="49" t="str">
        <x:v>Official funded programme</x:v>
      </x:c>
      <x:c r="E13" s="49" t="str">
        <x:v>2026-08-01</x:v>
      </x:c>
      <x:c r="F13" s="49" t="str">
        <x:v>High</x:v>
      </x:c>
      <x:c r="G13" s="49" t="str">
        <x:v>https://programs.startup.gov.ng/we-elevate/</x:v>
      </x:c>
    </x:row>
    <x:row r="14" ht="44" customHeight="1">
      <x:c r="A14" s="49" t="str">
        <x:v>S-013</x:v>
      </x:c>
      <x:c r="B14" s="49" t="str">
        <x:v>Ghana Enterprises Agency</x:v>
      </x:c>
      <x:c r="C14" s="49" t="str">
        <x:v>Digitalize for Jobs consultant terms</x:v>
      </x:c>
      <x:c r="D14" s="49" t="str">
        <x:v>Official procurement signal</x:v>
      </x:c>
      <x:c r="E14" s="49" t="str">
        <x:v>2026-08-01</x:v>
      </x:c>
      <x:c r="F14" s="49" t="str">
        <x:v>High</x:v>
      </x:c>
      <x:c r="G14" s="49" t="str">
        <x:v>https://gea.gov.gh/2025/02/21/terms-of-reference-digital-literacy-consultant-d4j-2025/</x:v>
      </x:c>
    </x:row>
    <x:row r="15" ht="44" customHeight="1">
      <x:c r="A15" s="49" t="str">
        <x:v>S-014</x:v>
      </x:c>
      <x:c r="B15" s="49" t="str">
        <x:v>Companies House</x:v>
      </x:c>
      <x:c r="C15" s="49" t="str">
        <x:v>Identity verification rollout</x:v>
      </x:c>
      <x:c r="D15" s="49" t="str">
        <x:v>Official regulatory programme</x:v>
      </x:c>
      <x:c r="E15" s="49" t="str">
        <x:v>2026-08-01</x:v>
      </x:c>
      <x:c r="F15" s="49" t="str">
        <x:v>High</x:v>
      </x:c>
      <x:c r="G15" s="49" t="str">
        <x:v>https://www.gov.uk/government/news/companies-house-confirms-identity-verification-rollout-from-18-november-2025</x:v>
      </x:c>
    </x:row>
    <x:row r="16" ht="44" customHeight="1">
      <x:c r="A16" s="49" t="str">
        <x:v>S-015</x:v>
      </x:c>
      <x:c r="B16" s="49" t="str">
        <x:v>Reddit SmallBusinessUAE</x:v>
      </x:c>
      <x:c r="C16" s="49" t="str">
        <x:v>Marketing consulting and execution discussion</x:v>
      </x:c>
      <x:c r="D16" s="49" t="str">
        <x:v>Community discourse</x:v>
      </x:c>
      <x:c r="E16" s="49" t="str">
        <x:v>2026-08-01</x:v>
      </x:c>
      <x:c r="F16" s="49" t="str">
        <x:v>Medium</x:v>
      </x:c>
      <x:c r="G16" s="49" t="str">
        <x:v>https://www.reddit.com/r/SmallBusinessUAE/comments/1ssm75k/is_it_worth_offering_marketing_consulting_to_smes/</x:v>
      </x:c>
    </x:row>
    <x:row r="17" ht="44" customHeight="1">
      <x:c r="A17" s="49" t="str">
        <x:v>S-016</x:v>
      </x:c>
      <x:c r="B17" s="49" t="str">
        <x:v>Reddit SmallBusinessUAE</x:v>
      </x:c>
      <x:c r="C17" s="49" t="str">
        <x:v>People-run versus process-run operations</x:v>
      </x:c>
      <x:c r="D17" s="49" t="str">
        <x:v>Community discourse</x:v>
      </x:c>
      <x:c r="E17" s="49" t="str">
        <x:v>2026-08-01</x:v>
      </x:c>
      <x:c r="F17" s="49" t="str">
        <x:v>Medium</x:v>
      </x:c>
      <x:c r="G17" s="49" t="str">
        <x:v>https://www.reddit.com/r/SmallBusinessUAE/comments/1tl41wz/helping_small_businesses_automate_build_websites/</x:v>
      </x:c>
    </x:row>
    <x:row r="18" ht="44" customHeight="1">
      <x:c r="A18" s="49" t="str">
        <x:v>S-017</x:v>
      </x:c>
      <x:c r="B18" s="49" t="str">
        <x:v>Reddit business owners</x:v>
      </x:c>
      <x:c r="C18" s="49" t="str">
        <x:v>AI automation agency trust discussion</x:v>
      </x:c>
      <x:c r="D18" s="49" t="str">
        <x:v>Community discourse</x:v>
      </x:c>
      <x:c r="E18" s="49" t="str">
        <x:v>2026-08-01</x:v>
      </x:c>
      <x:c r="F18" s="49" t="str">
        <x:v>Medium</x:v>
      </x:c>
      <x:c r="G18" s="49" t="str">
        <x:v>https://www.reddit.com/r/Businessowners/comments/1v1orru/a_few_things_id_tell_any_business_owner_before/</x:v>
      </x:c>
    </x:row>
    <x:row r="19" ht="44" customHeight="1">
      <x:c r="A19" s="49" t="str">
        <x:v>S-018</x:v>
      </x:c>
      <x:c r="B19" s="49" t="str">
        <x:v>Reddit smallbusinessuk</x:v>
      </x:c>
      <x:c r="C19" s="49" t="str">
        <x:v>Agency distrust discussion</x:v>
      </x:c>
      <x:c r="D19" s="49" t="str">
        <x:v>Community discourse</x:v>
      </x:c>
      <x:c r="E19" s="49" t="str">
        <x:v>2026-08-01</x:v>
      </x:c>
      <x:c r="F19" s="49" t="str">
        <x:v>Medium</x:v>
      </x:c>
      <x:c r="G19" s="49" t="str">
        <x:v>https://www.reddit.com/r/smallbusinessuk/comments/1t2frr4/removed/</x:v>
      </x:c>
    </x:row>
  </x:sheetData>
  <x:pageMargins left="0.7" right="0.7" top="0.75" bottom="0.75" header="0.3" footer="0.3"/>
  <x:tableParts count="1">
    <x:tablePart xmlns:r="http://schemas.openxmlformats.org/officeDocument/2006/relationships" r:id="Rff371306b9f749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70" hidden="0" customWidth="1"/>
    <x:col min="4" max="4" width="14" hidden="0" customWidth="1"/>
  </x:cols>
  <x:sheetData>
    <x:row r="1">
      <x:c r="A1" s="6" t="str">
        <x:v>Scoring Model</x:v>
      </x:c>
      <x:c r="B1" s="6" t="str">
        <x:v>Weight</x:v>
      </x:c>
      <x:c r="C1" s="6" t="str">
        <x:v>Meaning</x:v>
      </x:c>
      <x:c r="D1" s="6" t="str">
        <x:v>Editable</x:v>
      </x:c>
    </x:row>
    <x:row r="2" ht="36" customHeight="1">
      <x:c r="A2" s="49" t="str">
        <x:v>Observable money density</x:v>
      </x:c>
      <x:c r="B2" s="51" t="n">
        <x:v>0.25</x:v>
      </x:c>
      <x:c r="C2" s="49" t="str">
        <x:v>Direct paid listings, funded programmes, procurement, or active implementation spend</x:v>
      </x:c>
      <x:c r="D2" s="49" t="str">
        <x:v>Yes</x:v>
      </x:c>
    </x:row>
    <x:row r="3" ht="36" customHeight="1">
      <x:c r="A3" s="49" t="str">
        <x:v>Buyer budget capacity</x:v>
      </x:c>
      <x:c r="B3" s="51" t="n">
        <x:v>0.2</x:v>
      </x:c>
      <x:c r="C3" s="49" t="str">
        <x:v>Ability to buy a meaningful BridgeWorks engagement</x:v>
      </x:c>
      <x:c r="D3" s="49" t="str">
        <x:v>Yes</x:v>
      </x:c>
    </x:row>
    <x:row r="4" ht="36" customHeight="1">
      <x:c r="A4" s="49" t="str">
        <x:v>Discourse pain density</x:v>
      </x:c>
      <x:c r="B4" s="51" t="n">
        <x:v>0.15</x:v>
      </x:c>
      <x:c r="C4" s="49" t="str">
        <x:v>Frequency and specificity of buyer complaints or questions</x:v>
      </x:c>
      <x:c r="D4" s="49" t="str">
        <x:v>Yes</x:v>
      </x:c>
    </x:row>
    <x:row r="5" ht="36" customHeight="1">
      <x:c r="A5" s="49" t="str">
        <x:v>Trigger urgency</x:v>
      </x:c>
      <x:c r="B5" s="51" t="n">
        <x:v>0.15</x:v>
      </x:c>
      <x:c r="C5" s="49" t="str">
        <x:v>Deadline, migration, hiring, launch, funding, or operational consequence</x:v>
      </x:c>
      <x:c r="D5" s="49" t="str">
        <x:v>Yes</x:v>
      </x:c>
    </x:row>
    <x:row r="6" ht="36" customHeight="1">
      <x:c r="A6" s="49" t="str">
        <x:v>BridgeWorks advantage</x:v>
      </x:c>
      <x:c r="B6" s="51" t="n">
        <x:v>0.15</x:v>
      </x:c>
      <x:c r="C6" s="49" t="str">
        <x:v>Proof, cultural access, service fit, and ability to deliver</x:v>
      </x:c>
      <x:c r="D6" s="49" t="str">
        <x:v>Yes</x:v>
      </x:c>
    </x:row>
    <x:row r="7" ht="36" customHeight="1">
      <x:c r="A7" s="49" t="str">
        <x:v>Access and sales friction</x:v>
      </x:c>
      <x:c r="B7" s="51" t="n">
        <x:v>0.1</x:v>
      </x:c>
      <x:c r="C7" s="49" t="str">
        <x:v>Decision-maker reach, language, procurement, and channel constraints</x:v>
      </x:c>
      <x:c r="D7" s="49" t="str">
        <x:v>Yes</x:v>
      </x:c>
    </x:row>
    <x:row r="8">
      <x:c r="A8" s="49"/>
      <x:c r="B8" s="49"/>
      <x:c r="C8" s="49"/>
      <x:c r="D8" s="49"/>
    </x:row>
    <x:row r="9">
      <x:c r="A9" s="49"/>
      <x:c r="B9" s="49"/>
      <x:c r="C9" s="49"/>
      <x:c r="D9" s="49"/>
    </x:row>
    <x:row r="10">
      <x:c r="A10" s="5" t="str">
        <x:v>Score</x:v>
      </x:c>
      <x:c r="B10" s="5" t="str">
        <x:v>Tier</x:v>
      </x:c>
      <x:c r="C10" s="5" t="str">
        <x:v>Operating rule</x:v>
      </x:c>
      <x:c r="D10" s="49"/>
    </x:row>
    <x:row r="11">
      <x:c r="A11" s="49" t="n">
        <x:v>80</x:v>
      </x:c>
      <x:c r="B11" s="49" t="str">
        <x:v>Hunt Now</x:v>
      </x:c>
      <x:c r="C11" s="49" t="str">
        <x:v>Build named-account pools and tailored assets now</x:v>
      </x:c>
      <x:c r="D11" s="49"/>
    </x:row>
    <x:row r="12">
      <x:c r="A12" s="49" t="n">
        <x:v>70</x:v>
      </x:c>
      <x:c r="B12" s="49" t="str">
        <x:v>Test</x:v>
      </x:c>
      <x:c r="C12" s="49" t="str">
        <x:v>Run a controlled 5 to 10 account experiment</x:v>
      </x:c>
      <x:c r="D12" s="49"/>
    </x:row>
    <x:row r="13">
      <x:c r="A13" s="49" t="n">
        <x:v>60</x:v>
      </x:c>
      <x:c r="B13" s="49" t="str">
        <x:v>Partner-led</x:v>
      </x:c>
      <x:c r="C13" s="49" t="str">
        <x:v>Enter through an institution, specialist, or funded programme</x:v>
      </x:c>
      <x:c r="D13" s="49"/>
    </x:row>
    <x:row r="14">
      <x:c r="A14" s="49" t="n">
        <x:v>0</x:v>
      </x:c>
      <x:c r="B14" s="49" t="str">
        <x:v>Do Not Scale</x:v>
      </x:c>
      <x:c r="C14" s="49" t="str">
        <x:v>Keep as exception-only or benchmark</x:v>
      </x:c>
      <x:c r="D14" s="49"/>
    </x:row>
  </x:sheetData>
  <x:pageMargins left="0.7" right="0.7" top="0.75" bottom="0.75" header="0.3" footer="0.3"/>
</x:worksheet>
</file>